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ina\Documents\AnalisisVotos\Data Pre-Limpia\"/>
    </mc:Choice>
  </mc:AlternateContent>
  <xr:revisionPtr revIDLastSave="0" documentId="13_ncr:1_{2D300E9A-B07A-4F67-AD60-BABFE0C963B4}" xr6:coauthVersionLast="45" xr6:coauthVersionMax="45" xr10:uidLastSave="{00000000-0000-0000-0000-000000000000}"/>
  <bookViews>
    <workbookView xWindow="28680" yWindow="-15" windowWidth="29040" windowHeight="15840" tabRatio="879" xr2:uid="{00000000-000D-0000-FFFF-FFFF00000000}"/>
  </bookViews>
  <sheets>
    <sheet name="C1.2" sheetId="3" r:id="rId1"/>
  </sheets>
  <definedNames>
    <definedName name="_xlnm._FilterDatabase" localSheetId="0" hidden="1">'C1.2'!$A$3:$A$753</definedName>
    <definedName name="_xlnm.Print_Titles" localSheetId="0">'C1.2'!$1:$7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1" i="3" l="1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0" i="3"/>
  <c r="S109" i="3"/>
  <c r="S108" i="3"/>
  <c r="S107" i="3"/>
  <c r="S106" i="3"/>
  <c r="S105" i="3"/>
  <c r="S101" i="3"/>
  <c r="S100" i="3"/>
  <c r="S99" i="3"/>
  <c r="S98" i="3"/>
  <c r="S97" i="3"/>
  <c r="S96" i="3"/>
  <c r="S95" i="3"/>
  <c r="S94" i="3"/>
  <c r="S93" i="3"/>
  <c r="S92" i="3"/>
  <c r="S91" i="3"/>
  <c r="S87" i="3"/>
  <c r="S86" i="3"/>
  <c r="S85" i="3"/>
  <c r="S84" i="3"/>
  <c r="S83" i="3"/>
  <c r="S82" i="3"/>
  <c r="S81" i="3"/>
  <c r="S80" i="3"/>
  <c r="S79" i="3"/>
  <c r="S78" i="3"/>
  <c r="S77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60" i="3"/>
  <c r="S59" i="3"/>
  <c r="S58" i="3"/>
  <c r="S57" i="3"/>
  <c r="S56" i="3"/>
  <c r="S55" i="3"/>
  <c r="S54" i="3"/>
  <c r="S53" i="3"/>
  <c r="S73" i="3"/>
  <c r="S72" i="3"/>
  <c r="S71" i="3"/>
  <c r="S70" i="3"/>
  <c r="S69" i="3"/>
  <c r="S68" i="3"/>
  <c r="S67" i="3"/>
  <c r="S65" i="3"/>
  <c r="S64" i="3"/>
  <c r="R8" i="3"/>
  <c r="Q8" i="3"/>
  <c r="P8" i="3"/>
  <c r="O8" i="3"/>
  <c r="N8" i="3"/>
  <c r="M8" i="3"/>
  <c r="L8" i="3"/>
  <c r="K8" i="3"/>
  <c r="J8" i="3"/>
  <c r="I8" i="3"/>
  <c r="H8" i="3"/>
  <c r="F8" i="3"/>
  <c r="D8" i="3"/>
  <c r="C8" i="3"/>
  <c r="E8" i="3" s="1"/>
  <c r="B8" i="3"/>
  <c r="G8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0" i="3"/>
  <c r="E109" i="3"/>
  <c r="E108" i="3"/>
  <c r="E107" i="3"/>
  <c r="E106" i="3"/>
  <c r="E105" i="3"/>
  <c r="E101" i="3"/>
  <c r="E100" i="3"/>
  <c r="E99" i="3"/>
  <c r="E98" i="3"/>
  <c r="E97" i="3"/>
  <c r="E96" i="3"/>
  <c r="E95" i="3"/>
  <c r="E94" i="3"/>
  <c r="E93" i="3"/>
  <c r="E92" i="3"/>
  <c r="E91" i="3"/>
  <c r="E87" i="3"/>
  <c r="E86" i="3"/>
  <c r="E85" i="3"/>
  <c r="E84" i="3"/>
  <c r="E83" i="3"/>
  <c r="E82" i="3"/>
  <c r="E81" i="3"/>
  <c r="E80" i="3"/>
  <c r="E79" i="3"/>
  <c r="E78" i="3"/>
  <c r="E77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60" i="3"/>
  <c r="E59" i="3"/>
  <c r="E58" i="3"/>
  <c r="E57" i="3"/>
  <c r="E56" i="3"/>
  <c r="E55" i="3"/>
  <c r="E54" i="3"/>
  <c r="E53" i="3"/>
  <c r="E73" i="3"/>
  <c r="E72" i="3"/>
  <c r="E71" i="3"/>
  <c r="E70" i="3"/>
  <c r="E69" i="3"/>
  <c r="E68" i="3"/>
  <c r="E67" i="3"/>
  <c r="E65" i="3"/>
  <c r="E64" i="3"/>
  <c r="S66" i="3"/>
  <c r="E66" i="3"/>
  <c r="E10" i="3"/>
  <c r="S10" i="3"/>
  <c r="E33" i="3"/>
  <c r="S33" i="3"/>
  <c r="E51" i="3"/>
  <c r="S51" i="3"/>
  <c r="E62" i="3"/>
  <c r="S62" i="3"/>
  <c r="E75" i="3"/>
  <c r="S75" i="3"/>
  <c r="E89" i="3"/>
  <c r="S89" i="3"/>
  <c r="E103" i="3"/>
  <c r="S103" i="3"/>
  <c r="S8" i="3" l="1"/>
</calcChain>
</file>

<file path=xl/sharedStrings.xml><?xml version="1.0" encoding="utf-8"?>
<sst xmlns="http://schemas.openxmlformats.org/spreadsheetml/2006/main" count="112" uniqueCount="112">
  <si>
    <t>VOTOS RECIBIDOS</t>
  </si>
  <si>
    <t>VOTOS VÁLIDOS</t>
  </si>
  <si>
    <t>ABSTENCIONISMO</t>
  </si>
  <si>
    <t>SAN JOSÉ</t>
  </si>
  <si>
    <t>ESCAZÚ</t>
  </si>
  <si>
    <t>SAN RAFAEL</t>
  </si>
  <si>
    <t>DESAMPARADOS</t>
  </si>
  <si>
    <t>ASERRÍ</t>
  </si>
  <si>
    <t>SANTA ANA</t>
  </si>
  <si>
    <t>SAN ISIDRO</t>
  </si>
  <si>
    <t>SAN PABLO</t>
  </si>
  <si>
    <t>SANTA CRUZ</t>
  </si>
  <si>
    <t>ALAJUELA</t>
  </si>
  <si>
    <t>SAN RAMÓN</t>
  </si>
  <si>
    <t>GRECIA</t>
  </si>
  <si>
    <t>SAN MATEO</t>
  </si>
  <si>
    <t>ATENAS</t>
  </si>
  <si>
    <t>NARANJO</t>
  </si>
  <si>
    <t>PALMARES</t>
  </si>
  <si>
    <t>BUENOS AIRES</t>
  </si>
  <si>
    <t>OROTINA</t>
  </si>
  <si>
    <t>CARTAGO</t>
  </si>
  <si>
    <t>PARAÍSO</t>
  </si>
  <si>
    <t>TURRIALBA</t>
  </si>
  <si>
    <t>HEREDIA</t>
  </si>
  <si>
    <t>BARVA</t>
  </si>
  <si>
    <t>SANTO DOMINGO</t>
  </si>
  <si>
    <t>SANTA BÁRBARA</t>
  </si>
  <si>
    <t>LIBERIA</t>
  </si>
  <si>
    <t>NICOYA</t>
  </si>
  <si>
    <t>BAGACES</t>
  </si>
  <si>
    <t>BELÉN</t>
  </si>
  <si>
    <t>CAÑAS</t>
  </si>
  <si>
    <t>TILARÁN</t>
  </si>
  <si>
    <t>PUNTARENAS</t>
  </si>
  <si>
    <t>LA UNIÓN</t>
  </si>
  <si>
    <t>GOLFITO</t>
  </si>
  <si>
    <t>PARRITA</t>
  </si>
  <si>
    <t>LIMÓN</t>
  </si>
  <si>
    <t>JIMÉNEZ</t>
  </si>
  <si>
    <t>SIQUIRRES</t>
  </si>
  <si>
    <t>MATINA</t>
  </si>
  <si>
    <t>GUÁCIMO</t>
  </si>
  <si>
    <t>PROVINCIA ALAJUELA</t>
  </si>
  <si>
    <t>PROVINCIA CARTAGO</t>
  </si>
  <si>
    <t>PROVINCIA HEREDIA</t>
  </si>
  <si>
    <t>PROVINCIA SAN JOSÉ</t>
  </si>
  <si>
    <t>PROVINCIA PUNTARENAS</t>
  </si>
  <si>
    <t>PROVINCIA LIMÓN</t>
  </si>
  <si>
    <t>TOTAL</t>
  </si>
  <si>
    <t>TOTAL GENERAL</t>
  </si>
  <si>
    <t>ABSOLUTO</t>
  </si>
  <si>
    <t>%</t>
  </si>
  <si>
    <t>COSTA RICA</t>
  </si>
  <si>
    <t>PURISCAL</t>
  </si>
  <si>
    <t>TARRAZÚ</t>
  </si>
  <si>
    <t>MORA</t>
  </si>
  <si>
    <t>GOICOECHEA</t>
  </si>
  <si>
    <t>POÁS</t>
  </si>
  <si>
    <t>ALVARADO</t>
  </si>
  <si>
    <t>OREAMUNO</t>
  </si>
  <si>
    <t>EL GUARCO</t>
  </si>
  <si>
    <t>FLORES</t>
  </si>
  <si>
    <t>CARRILLO</t>
  </si>
  <si>
    <t>ABANGARES</t>
  </si>
  <si>
    <t>NANDAYURE</t>
  </si>
  <si>
    <t>ESPARZA</t>
  </si>
  <si>
    <t>MONTES DE ORO</t>
  </si>
  <si>
    <t>OSA</t>
  </si>
  <si>
    <t>AGUIRRE</t>
  </si>
  <si>
    <t>COTO BRUS</t>
  </si>
  <si>
    <t>POCOCÍ</t>
  </si>
  <si>
    <t>TALAMANCA</t>
  </si>
  <si>
    <t>JUNTAS</t>
  </si>
  <si>
    <t>INTEGRACIÓN NACIONAL</t>
  </si>
  <si>
    <t>FRENTE AMPLIO</t>
  </si>
  <si>
    <t>NULOS</t>
  </si>
  <si>
    <t>ALIANZA
PATRIÓTICA</t>
  </si>
  <si>
    <t>ACCIÓN
CIUDADANA</t>
  </si>
  <si>
    <t>UNIDAD SOCIAL CRISTIANA</t>
  </si>
  <si>
    <t>RENOVACIÓN COSTARRICENSE</t>
  </si>
  <si>
    <t>LIBERACIÓN NACIONAL</t>
  </si>
  <si>
    <t>MOVIMIENTO LIBERTARIO</t>
  </si>
  <si>
    <t>ACCESIBILIDAD SIN EXCLUSIÓN</t>
  </si>
  <si>
    <t>BLANCOS</t>
  </si>
  <si>
    <t>PROVINCIA  GUANACASTE</t>
  </si>
  <si>
    <t>SARAPIQUÍ</t>
  </si>
  <si>
    <t>ELECTORADO</t>
  </si>
  <si>
    <t>%
PARTICIPACIÓN</t>
  </si>
  <si>
    <t>CUADRO 1.2 COSTA RICA: JUNTAS, ELECTORADO, PARTICIPACIÓN, VOTOS POR PARTIDO, NULOS, BLANCOS Y ABSTENCIONISMO PARA PRESIDENCIA
Y VICEPRESIDENCIAS DE LA REPÚBLICA, SEGÚN  PROVINCIA Y CANTÓN
 ELECCIONES 7 DE FEBRERO 2010</t>
  </si>
  <si>
    <t>PROVINCIA Y CANTÓN</t>
  </si>
  <si>
    <t>ALAJUELITA</t>
  </si>
  <si>
    <t>VÁZQUEZ DE CORONADO</t>
  </si>
  <si>
    <t>ACOSTA</t>
  </si>
  <si>
    <t>TIBÁS</t>
  </si>
  <si>
    <t>MORAVIA</t>
  </si>
  <si>
    <t>MONTES DE OCA</t>
  </si>
  <si>
    <t>TURRUBARES</t>
  </si>
  <si>
    <t>DOTA</t>
  </si>
  <si>
    <t>CURRIDABAT</t>
  </si>
  <si>
    <t>PÉREZ ZELEDÓN</t>
  </si>
  <si>
    <t>LEÓN CORTÉS</t>
  </si>
  <si>
    <t>SAN CARLOS</t>
  </si>
  <si>
    <t>ALFARO RUIZ</t>
  </si>
  <si>
    <t>VALVERDE VEGA</t>
  </si>
  <si>
    <t>UPALA</t>
  </si>
  <si>
    <t>LOS CHILES</t>
  </si>
  <si>
    <t>GUATUSO</t>
  </si>
  <si>
    <t>LA CRUZ</t>
  </si>
  <si>
    <t>HOJANCHA</t>
  </si>
  <si>
    <t>CORREDORES</t>
  </si>
  <si>
    <t>GARABITO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</si>
</sst>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,##0.0"/>
    <numFmt numFmtId="166" formatCode="_-[$€-2]* #,##0.00_-;\-[$€-2]* #,##0.00_-;_-[$€-2]* &quot;-&quot;??_-"/>
  </numFmts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" fillId="0" borderId="0"/>
  </cellStyleXfs>
  <cellXfs count="58">
    <xf numFmtId="0" fontId="0" fillId="0" borderId="0" xfId="0"/>
    <xf numFmtId="0" fontId="6" fillId="0" borderId="0" xfId="0" applyFont="1"/>
    <xf numFmtId="0" fontId="8" fillId="0" borderId="0" xfId="0" applyFont="1" applyBorder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8" fillId="0" borderId="0" xfId="0" applyFont="1"/>
    <xf numFmtId="0" fontId="4" fillId="0" borderId="0" xfId="0" applyFont="1" applyBorder="1" applyAlignment="1">
      <alignment horizontal="left" vertical="top" wrapText="1" indent="2"/>
    </xf>
    <xf numFmtId="0" fontId="9" fillId="0" borderId="0" xfId="0" applyFont="1" applyBorder="1" applyAlignment="1">
      <alignment horizontal="centerContinuous" vertical="center"/>
    </xf>
    <xf numFmtId="0" fontId="10" fillId="0" borderId="0" xfId="0" applyFont="1"/>
    <xf numFmtId="0" fontId="4" fillId="0" borderId="2" xfId="0" applyFont="1" applyBorder="1" applyAlignment="1">
      <alignment horizontal="center" vertical="center" wrapText="1"/>
    </xf>
    <xf numFmtId="0" fontId="11" fillId="0" borderId="0" xfId="0" applyFont="1"/>
    <xf numFmtId="0" fontId="4" fillId="0" borderId="2" xfId="0" applyFont="1" applyBorder="1" applyAlignment="1">
      <alignment horizontal="center" vertical="center" textRotation="90" wrapText="1"/>
    </xf>
    <xf numFmtId="0" fontId="11" fillId="0" borderId="0" xfId="0" applyFont="1" applyAlignment="1">
      <alignment vertical="center"/>
    </xf>
    <xf numFmtId="0" fontId="4" fillId="0" borderId="0" xfId="0" applyFont="1" applyBorder="1" applyAlignment="1">
      <alignment horizontal="center" wrapText="1"/>
    </xf>
    <xf numFmtId="0" fontId="9" fillId="0" borderId="0" xfId="0" applyFont="1"/>
    <xf numFmtId="0" fontId="5" fillId="0" borderId="0" xfId="0" applyFont="1" applyBorder="1" applyAlignment="1">
      <alignment horizontal="left" vertical="top" wrapText="1"/>
    </xf>
    <xf numFmtId="3" fontId="5" fillId="0" borderId="0" xfId="0" applyNumberFormat="1" applyFont="1" applyBorder="1" applyAlignment="1">
      <alignment horizontal="right" vertical="center"/>
    </xf>
    <xf numFmtId="165" fontId="5" fillId="0" borderId="0" xfId="0" applyNumberFormat="1" applyFont="1" applyBorder="1" applyAlignment="1">
      <alignment horizontal="right" vertical="center"/>
    </xf>
    <xf numFmtId="0" fontId="5" fillId="0" borderId="0" xfId="0" applyFont="1" applyBorder="1"/>
    <xf numFmtId="0" fontId="5" fillId="0" borderId="0" xfId="0" applyFont="1" applyBorder="1" applyAlignment="1">
      <alignment horizontal="left" vertical="top" wrapText="1" indent="2"/>
    </xf>
    <xf numFmtId="0" fontId="5" fillId="0" borderId="0" xfId="0" applyFont="1" applyBorder="1" applyAlignment="1">
      <alignment horizontal="center" wrapText="1"/>
    </xf>
    <xf numFmtId="0" fontId="5" fillId="0" borderId="0" xfId="0" applyFont="1"/>
    <xf numFmtId="3" fontId="4" fillId="0" borderId="0" xfId="0" applyNumberFormat="1" applyFont="1" applyBorder="1" applyAlignment="1">
      <alignment horizontal="right" vertical="center"/>
    </xf>
    <xf numFmtId="0" fontId="9" fillId="0" borderId="0" xfId="0" applyFont="1" applyBorder="1"/>
    <xf numFmtId="0" fontId="10" fillId="0" borderId="0" xfId="0" applyFont="1" applyBorder="1" applyAlignment="1">
      <alignment horizontal="left" vertical="top" wrapText="1" indent="2"/>
    </xf>
    <xf numFmtId="3" fontId="10" fillId="0" borderId="0" xfId="0" applyNumberFormat="1" applyFont="1" applyBorder="1" applyAlignment="1">
      <alignment horizontal="right" vertical="center"/>
    </xf>
    <xf numFmtId="165" fontId="10" fillId="0" borderId="0" xfId="0" applyNumberFormat="1" applyFont="1" applyBorder="1" applyAlignment="1">
      <alignment horizontal="right" vertical="center"/>
    </xf>
    <xf numFmtId="164" fontId="10" fillId="0" borderId="0" xfId="0" applyNumberFormat="1" applyFont="1"/>
    <xf numFmtId="0" fontId="12" fillId="0" borderId="0" xfId="0" applyFont="1" applyBorder="1" applyAlignment="1">
      <alignment horizontal="left" vertical="top" wrapText="1"/>
    </xf>
    <xf numFmtId="3" fontId="12" fillId="0" borderId="0" xfId="0" applyNumberFormat="1" applyFont="1" applyBorder="1" applyAlignment="1">
      <alignment horizontal="right" vertical="center"/>
    </xf>
    <xf numFmtId="165" fontId="12" fillId="0" borderId="0" xfId="0" applyNumberFormat="1" applyFont="1" applyBorder="1" applyAlignment="1">
      <alignment horizontal="right" vertical="center"/>
    </xf>
    <xf numFmtId="164" fontId="12" fillId="0" borderId="0" xfId="0" applyNumberFormat="1" applyFont="1"/>
    <xf numFmtId="0" fontId="4" fillId="0" borderId="0" xfId="0" applyFont="1"/>
    <xf numFmtId="0" fontId="3" fillId="0" borderId="0" xfId="0" applyFont="1"/>
    <xf numFmtId="164" fontId="5" fillId="0" borderId="0" xfId="0" applyNumberFormat="1" applyFont="1"/>
    <xf numFmtId="0" fontId="12" fillId="0" borderId="0" xfId="0" applyFont="1" applyBorder="1" applyAlignment="1">
      <alignment horizontal="left" vertical="center" wrapText="1"/>
    </xf>
    <xf numFmtId="164" fontId="12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1" xfId="0" applyFont="1" applyBorder="1" applyAlignment="1">
      <alignment horizontal="left" vertical="top" wrapText="1" indent="2"/>
    </xf>
    <xf numFmtId="3" fontId="10" fillId="0" borderId="1" xfId="0" applyNumberFormat="1" applyFont="1" applyBorder="1"/>
    <xf numFmtId="0" fontId="10" fillId="0" borderId="1" xfId="0" applyFont="1" applyBorder="1"/>
    <xf numFmtId="3" fontId="10" fillId="0" borderId="0" xfId="0" applyNumberFormat="1" applyFont="1"/>
    <xf numFmtId="0" fontId="10" fillId="0" borderId="0" xfId="0" applyFont="1" applyBorder="1" applyAlignment="1">
      <alignment horizontal="left" vertical="top" wrapText="1" indent="1"/>
    </xf>
    <xf numFmtId="0" fontId="10" fillId="0" borderId="0" xfId="0" applyFont="1" applyBorder="1" applyAlignment="1">
      <alignment horizontal="left" vertical="center" wrapText="1" indent="1"/>
    </xf>
    <xf numFmtId="0" fontId="11" fillId="0" borderId="0" xfId="0" applyFont="1" applyBorder="1" applyAlignment="1">
      <alignment horizontal="centerContinuous" vertical="center" wrapText="1"/>
    </xf>
    <xf numFmtId="0" fontId="11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textRotation="90" wrapText="1"/>
    </xf>
    <xf numFmtId="0" fontId="4" fillId="0" borderId="8" xfId="0" applyFont="1" applyBorder="1" applyAlignment="1">
      <alignment horizontal="center" vertical="center" textRotation="90" wrapText="1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textRotation="90" wrapText="1"/>
    </xf>
    <xf numFmtId="0" fontId="4" fillId="0" borderId="1" xfId="0" applyFont="1" applyBorder="1" applyAlignment="1">
      <alignment horizontal="center" vertical="center" textRotation="90" wrapText="1"/>
    </xf>
  </cellXfs>
  <cellStyles count="3">
    <cellStyle name="Euro" xfId="1" xr:uid="{00000000-0005-0000-0000-000000000000}"/>
    <cellStyle name="Normal" xfId="0" builtinId="0"/>
    <cellStyle name="Normal 2" xfId="2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1</xdr:row>
      <xdr:rowOff>0</xdr:rowOff>
    </xdr:from>
    <xdr:ext cx="784731" cy="355242"/>
    <xdr:sp macro="[0]!REGRESA" textlink="">
      <xdr:nvSpPr>
        <xdr:cNvPr id="3073" name="AutoShape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>
          <a:spLocks noChangeArrowheads="1"/>
        </xdr:cNvSpPr>
      </xdr:nvSpPr>
      <xdr:spPr bwMode="auto">
        <a:xfrm>
          <a:off x="57150" y="190500"/>
          <a:ext cx="784731" cy="355242"/>
        </a:xfrm>
        <a:prstGeom prst="leftArrow">
          <a:avLst>
            <a:gd name="adj1" fmla="val 50000"/>
            <a:gd name="adj2" fmla="val 53378"/>
          </a:avLst>
        </a:prstGeom>
        <a:solidFill>
          <a:srgbClr val="99CC00"/>
        </a:solidFill>
        <a:ln w="9525">
          <a:solidFill>
            <a:srgbClr val="FFFF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s-CR" sz="900" b="1" i="0" strike="noStrike">
              <a:solidFill>
                <a:srgbClr val="000000"/>
              </a:solidFill>
              <a:latin typeface="Arial"/>
              <a:cs typeface="Arial"/>
            </a:rPr>
            <a:t>REGRESAR</a:t>
          </a:r>
        </a:p>
      </xdr:txBody>
    </xdr:sp>
    <xdr:clientData fPrint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S112"/>
  <sheetViews>
    <sheetView showGridLines="0" tabSelected="1" topLeftCell="A18" zoomScaleNormal="100" workbookViewId="0">
      <selection activeCell="F12" sqref="F12:F31"/>
    </sheetView>
  </sheetViews>
  <sheetFormatPr baseColWidth="10" defaultColWidth="9.109375" defaultRowHeight="13.2" x14ac:dyDescent="0.2"/>
  <cols>
    <col min="1" max="1" width="23.88671875" style="5" customWidth="1"/>
    <col min="2" max="2" width="8.109375" style="13" customWidth="1"/>
    <col min="3" max="3" width="11.44140625" style="13" customWidth="1"/>
    <col min="4" max="4" width="11" style="13" customWidth="1"/>
    <col min="5" max="5" width="7.109375" style="13" customWidth="1"/>
    <col min="6" max="6" width="11.109375" style="13" customWidth="1"/>
    <col min="7" max="17" width="8.6640625" style="13" customWidth="1"/>
    <col min="18" max="18" width="9.88671875" style="13" customWidth="1"/>
    <col min="19" max="19" width="7.88671875" style="13" customWidth="1"/>
    <col min="20" max="16384" width="9.109375" style="13"/>
  </cols>
  <sheetData>
    <row r="1" spans="1:19" s="1" customFormat="1" ht="13.8" x14ac:dyDescent="0.25">
      <c r="A1" s="44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19" s="4" customFormat="1" ht="39.6" x14ac:dyDescent="0.25">
      <c r="A2" s="43" t="s">
        <v>89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</row>
    <row r="3" spans="1:19" s="7" customFormat="1" x14ac:dyDescent="0.2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9" s="9" customFormat="1" ht="20.100000000000001" customHeight="1" x14ac:dyDescent="0.25">
      <c r="A4" s="46" t="s">
        <v>90</v>
      </c>
      <c r="B4" s="51" t="s">
        <v>73</v>
      </c>
      <c r="C4" s="48" t="s">
        <v>87</v>
      </c>
      <c r="D4" s="47" t="s">
        <v>0</v>
      </c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54" t="s">
        <v>2</v>
      </c>
      <c r="S4" s="55"/>
    </row>
    <row r="5" spans="1:19" s="9" customFormat="1" ht="20.100000000000001" customHeight="1" x14ac:dyDescent="0.25">
      <c r="A5" s="46"/>
      <c r="B5" s="51"/>
      <c r="C5" s="49"/>
      <c r="D5" s="52" t="s">
        <v>50</v>
      </c>
      <c r="E5" s="48" t="s">
        <v>88</v>
      </c>
      <c r="F5" s="47" t="s">
        <v>1</v>
      </c>
      <c r="G5" s="47"/>
      <c r="H5" s="47"/>
      <c r="I5" s="47"/>
      <c r="J5" s="47"/>
      <c r="K5" s="47"/>
      <c r="L5" s="47"/>
      <c r="M5" s="47"/>
      <c r="N5" s="47"/>
      <c r="O5" s="47"/>
      <c r="P5" s="48" t="s">
        <v>76</v>
      </c>
      <c r="Q5" s="48" t="s">
        <v>84</v>
      </c>
      <c r="R5" s="48" t="s">
        <v>51</v>
      </c>
      <c r="S5" s="56" t="s">
        <v>52</v>
      </c>
    </row>
    <row r="6" spans="1:19" s="11" customFormat="1" ht="93" customHeight="1" x14ac:dyDescent="0.25">
      <c r="A6" s="46"/>
      <c r="B6" s="51"/>
      <c r="C6" s="50"/>
      <c r="D6" s="53"/>
      <c r="E6" s="50"/>
      <c r="F6" s="8" t="s">
        <v>49</v>
      </c>
      <c r="G6" s="10" t="s">
        <v>79</v>
      </c>
      <c r="H6" s="10" t="s">
        <v>74</v>
      </c>
      <c r="I6" s="10" t="s">
        <v>77</v>
      </c>
      <c r="J6" s="10" t="s">
        <v>80</v>
      </c>
      <c r="K6" s="10" t="s">
        <v>75</v>
      </c>
      <c r="L6" s="10" t="s">
        <v>81</v>
      </c>
      <c r="M6" s="10" t="s">
        <v>82</v>
      </c>
      <c r="N6" s="10" t="s">
        <v>78</v>
      </c>
      <c r="O6" s="10" t="s">
        <v>83</v>
      </c>
      <c r="P6" s="50"/>
      <c r="Q6" s="50"/>
      <c r="R6" s="50"/>
      <c r="S6" s="57"/>
    </row>
    <row r="7" spans="1:19" x14ac:dyDescent="0.25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9" s="17" customFormat="1" ht="15" customHeight="1" x14ac:dyDescent="0.25">
      <c r="A8" s="14" t="s">
        <v>53</v>
      </c>
      <c r="B8" s="15">
        <f>+B10+B33+B51+B62+B75+B89+B103</f>
        <v>6617</v>
      </c>
      <c r="C8" s="15">
        <f>+C10+C33+C51+C62+C75+C89+C103</f>
        <v>2822491</v>
      </c>
      <c r="D8" s="15">
        <f>+D10+D33+D51+D62+D75+D89+D103</f>
        <v>1950847.0000000009</v>
      </c>
      <c r="E8" s="16">
        <f>+D8/C8*100</f>
        <v>69.117917470773193</v>
      </c>
      <c r="F8" s="15">
        <f>+F10+F33+F51+F62+F75+F89+F103</f>
        <v>1911333</v>
      </c>
      <c r="G8" s="15">
        <f>+G10+G33+G51+G62+G75+G89+G103</f>
        <v>74113.999999999985</v>
      </c>
      <c r="H8" s="15">
        <f t="shared" ref="H8:R8" si="0">+H10+H33+H51+H62+H75+H89+H103</f>
        <v>2049.0000000000009</v>
      </c>
      <c r="I8" s="15">
        <f t="shared" si="0"/>
        <v>3158.0000000000005</v>
      </c>
      <c r="J8" s="15">
        <f t="shared" si="0"/>
        <v>13945</v>
      </c>
      <c r="K8" s="15">
        <f t="shared" si="0"/>
        <v>6782.0000000000045</v>
      </c>
      <c r="L8" s="15">
        <f t="shared" si="0"/>
        <v>896516.00000000093</v>
      </c>
      <c r="M8" s="15">
        <f t="shared" si="0"/>
        <v>399787.99999999983</v>
      </c>
      <c r="N8" s="15">
        <f t="shared" si="0"/>
        <v>478877.00000000012</v>
      </c>
      <c r="O8" s="15">
        <f t="shared" si="0"/>
        <v>36103.999999999985</v>
      </c>
      <c r="P8" s="15">
        <f t="shared" si="0"/>
        <v>32554.999999999993</v>
      </c>
      <c r="Q8" s="15">
        <f t="shared" si="0"/>
        <v>6959</v>
      </c>
      <c r="R8" s="15">
        <f t="shared" si="0"/>
        <v>871644.00000000012</v>
      </c>
      <c r="S8" s="16">
        <f>+R8/C8*100</f>
        <v>30.882082529226846</v>
      </c>
    </row>
    <row r="9" spans="1:19" s="20" customFormat="1" ht="15" customHeight="1" x14ac:dyDescent="0.25">
      <c r="A9" s="18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9" s="17" customFormat="1" ht="15" customHeight="1" x14ac:dyDescent="0.25">
      <c r="A10" s="14" t="s">
        <v>46</v>
      </c>
      <c r="B10" s="15">
        <v>2232</v>
      </c>
      <c r="C10" s="15">
        <v>1008177</v>
      </c>
      <c r="D10" s="15">
        <v>704284.00000000105</v>
      </c>
      <c r="E10" s="16">
        <f>+D10/C10*100</f>
        <v>69.857177856666141</v>
      </c>
      <c r="F10" s="15">
        <v>692765</v>
      </c>
      <c r="G10" s="15">
        <v>24609</v>
      </c>
      <c r="H10" s="15">
        <v>970.00000000000091</v>
      </c>
      <c r="I10" s="15">
        <v>870</v>
      </c>
      <c r="J10" s="15">
        <v>3852</v>
      </c>
      <c r="K10" s="15">
        <v>2536.0000000000055</v>
      </c>
      <c r="L10" s="15">
        <v>322976.00000000105</v>
      </c>
      <c r="M10" s="15">
        <v>122116</v>
      </c>
      <c r="N10" s="15">
        <v>200382</v>
      </c>
      <c r="O10" s="15">
        <v>14454</v>
      </c>
      <c r="P10" s="15">
        <v>9674</v>
      </c>
      <c r="Q10" s="15">
        <v>1845</v>
      </c>
      <c r="R10" s="15">
        <v>303893</v>
      </c>
      <c r="S10" s="16">
        <f>+R10/C10*100</f>
        <v>30.142822143333959</v>
      </c>
    </row>
    <row r="11" spans="1:19" s="22" customFormat="1" ht="15" customHeight="1" x14ac:dyDescent="0.2">
      <c r="A11" s="5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13"/>
    </row>
    <row r="12" spans="1:19" ht="15" customHeight="1" x14ac:dyDescent="0.2">
      <c r="A12" s="41" t="s">
        <v>3</v>
      </c>
      <c r="B12" s="24">
        <v>469</v>
      </c>
      <c r="C12" s="24">
        <v>226027</v>
      </c>
      <c r="D12" s="24">
        <v>153333</v>
      </c>
      <c r="E12" s="25">
        <f t="shared" ref="E12:E31" si="1">+D12/C12*100</f>
        <v>67.838355594685595</v>
      </c>
      <c r="F12" s="24">
        <v>151017</v>
      </c>
      <c r="G12" s="24">
        <v>6436.0000000000073</v>
      </c>
      <c r="H12" s="24">
        <v>179</v>
      </c>
      <c r="I12" s="24">
        <v>164</v>
      </c>
      <c r="J12" s="24">
        <v>941</v>
      </c>
      <c r="K12" s="24">
        <v>618.00000000000068</v>
      </c>
      <c r="L12" s="24">
        <v>70913.000000000073</v>
      </c>
      <c r="M12" s="24">
        <v>27690</v>
      </c>
      <c r="N12" s="24">
        <v>40882</v>
      </c>
      <c r="O12" s="24">
        <v>3194</v>
      </c>
      <c r="P12" s="24">
        <v>2023</v>
      </c>
      <c r="Q12" s="24">
        <v>293</v>
      </c>
      <c r="R12" s="24">
        <v>72694</v>
      </c>
      <c r="S12" s="26">
        <f t="shared" ref="S12:S31" si="2">+R12/C12*100</f>
        <v>32.161644405314412</v>
      </c>
    </row>
    <row r="13" spans="1:19" ht="15" customHeight="1" x14ac:dyDescent="0.2">
      <c r="A13" s="41" t="s">
        <v>4</v>
      </c>
      <c r="B13" s="24">
        <v>82</v>
      </c>
      <c r="C13" s="24">
        <v>39855</v>
      </c>
      <c r="D13" s="24">
        <v>28967</v>
      </c>
      <c r="E13" s="25">
        <f t="shared" si="1"/>
        <v>72.680968510851841</v>
      </c>
      <c r="F13" s="24">
        <v>28571</v>
      </c>
      <c r="G13" s="24">
        <v>688</v>
      </c>
      <c r="H13" s="24">
        <v>21</v>
      </c>
      <c r="I13" s="24">
        <v>31</v>
      </c>
      <c r="J13" s="24">
        <v>115</v>
      </c>
      <c r="K13" s="24">
        <v>92</v>
      </c>
      <c r="L13" s="24">
        <v>14627</v>
      </c>
      <c r="M13" s="24">
        <v>5979</v>
      </c>
      <c r="N13" s="24">
        <v>6427</v>
      </c>
      <c r="O13" s="24">
        <v>591</v>
      </c>
      <c r="P13" s="24">
        <v>345</v>
      </c>
      <c r="Q13" s="24">
        <v>51</v>
      </c>
      <c r="R13" s="24">
        <v>10888</v>
      </c>
      <c r="S13" s="26">
        <f t="shared" si="2"/>
        <v>27.319031489148159</v>
      </c>
    </row>
    <row r="14" spans="1:19" ht="15" customHeight="1" x14ac:dyDescent="0.2">
      <c r="A14" s="41" t="s">
        <v>6</v>
      </c>
      <c r="B14" s="24">
        <v>308</v>
      </c>
      <c r="C14" s="24">
        <v>143636</v>
      </c>
      <c r="D14" s="24">
        <v>99995</v>
      </c>
      <c r="E14" s="25">
        <f t="shared" si="1"/>
        <v>69.616948397337723</v>
      </c>
      <c r="F14" s="24">
        <v>98265</v>
      </c>
      <c r="G14" s="24">
        <v>3711</v>
      </c>
      <c r="H14" s="24">
        <v>202</v>
      </c>
      <c r="I14" s="24">
        <v>123</v>
      </c>
      <c r="J14" s="24">
        <v>543</v>
      </c>
      <c r="K14" s="24">
        <v>337</v>
      </c>
      <c r="L14" s="24">
        <v>45760</v>
      </c>
      <c r="M14" s="24">
        <v>18539</v>
      </c>
      <c r="N14" s="24">
        <v>26706</v>
      </c>
      <c r="O14" s="24">
        <v>2344</v>
      </c>
      <c r="P14" s="24">
        <v>1532</v>
      </c>
      <c r="Q14" s="24">
        <v>198</v>
      </c>
      <c r="R14" s="24">
        <v>43641</v>
      </c>
      <c r="S14" s="26">
        <f t="shared" si="2"/>
        <v>30.383051602662288</v>
      </c>
    </row>
    <row r="15" spans="1:19" ht="15" customHeight="1" x14ac:dyDescent="0.2">
      <c r="A15" s="41" t="s">
        <v>54</v>
      </c>
      <c r="B15" s="24">
        <v>70</v>
      </c>
      <c r="C15" s="24">
        <v>24260</v>
      </c>
      <c r="D15" s="24">
        <v>17626</v>
      </c>
      <c r="E15" s="25">
        <f t="shared" si="1"/>
        <v>72.654575432811214</v>
      </c>
      <c r="F15" s="24">
        <v>17319</v>
      </c>
      <c r="G15" s="24">
        <v>640</v>
      </c>
      <c r="H15" s="24">
        <v>11</v>
      </c>
      <c r="I15" s="24">
        <v>36</v>
      </c>
      <c r="J15" s="24">
        <v>64</v>
      </c>
      <c r="K15" s="24">
        <v>40</v>
      </c>
      <c r="L15" s="24">
        <v>9127.0000000000073</v>
      </c>
      <c r="M15" s="24">
        <v>3067</v>
      </c>
      <c r="N15" s="24">
        <v>4086</v>
      </c>
      <c r="O15" s="24">
        <v>248</v>
      </c>
      <c r="P15" s="24">
        <v>213</v>
      </c>
      <c r="Q15" s="24">
        <v>94.000000000000057</v>
      </c>
      <c r="R15" s="24">
        <v>6634</v>
      </c>
      <c r="S15" s="26">
        <f t="shared" si="2"/>
        <v>27.345424567188786</v>
      </c>
    </row>
    <row r="16" spans="1:19" ht="15" customHeight="1" x14ac:dyDescent="0.2">
      <c r="A16" s="41" t="s">
        <v>55</v>
      </c>
      <c r="B16" s="24">
        <v>28</v>
      </c>
      <c r="C16" s="24">
        <v>10376</v>
      </c>
      <c r="D16" s="24">
        <v>6954</v>
      </c>
      <c r="E16" s="25">
        <f t="shared" si="1"/>
        <v>67.02004626060139</v>
      </c>
      <c r="F16" s="24">
        <v>6782</v>
      </c>
      <c r="G16" s="24">
        <v>351</v>
      </c>
      <c r="H16" s="24">
        <v>17</v>
      </c>
      <c r="I16" s="24">
        <v>14</v>
      </c>
      <c r="J16" s="24">
        <v>30</v>
      </c>
      <c r="K16" s="24">
        <v>17</v>
      </c>
      <c r="L16" s="24">
        <v>3263</v>
      </c>
      <c r="M16" s="24">
        <v>1266</v>
      </c>
      <c r="N16" s="24">
        <v>1737</v>
      </c>
      <c r="O16" s="24">
        <v>87</v>
      </c>
      <c r="P16" s="24">
        <v>122</v>
      </c>
      <c r="Q16" s="24">
        <v>50</v>
      </c>
      <c r="R16" s="24">
        <v>3422</v>
      </c>
      <c r="S16" s="26">
        <f t="shared" si="2"/>
        <v>32.97995373939861</v>
      </c>
    </row>
    <row r="17" spans="1:19" ht="15" customHeight="1" x14ac:dyDescent="0.2">
      <c r="A17" s="41" t="s">
        <v>7</v>
      </c>
      <c r="B17" s="24">
        <v>86</v>
      </c>
      <c r="C17" s="24">
        <v>36900</v>
      </c>
      <c r="D17" s="24">
        <v>25385</v>
      </c>
      <c r="E17" s="25">
        <f t="shared" si="1"/>
        <v>68.794037940379411</v>
      </c>
      <c r="F17" s="24">
        <v>24852</v>
      </c>
      <c r="G17" s="24">
        <v>945.00000000000057</v>
      </c>
      <c r="H17" s="24">
        <v>78</v>
      </c>
      <c r="I17" s="24">
        <v>24</v>
      </c>
      <c r="J17" s="24">
        <v>122</v>
      </c>
      <c r="K17" s="24">
        <v>113</v>
      </c>
      <c r="L17" s="24">
        <v>11430</v>
      </c>
      <c r="M17" s="24">
        <v>4977</v>
      </c>
      <c r="N17" s="24">
        <v>6560</v>
      </c>
      <c r="O17" s="24">
        <v>603</v>
      </c>
      <c r="P17" s="24">
        <v>425</v>
      </c>
      <c r="Q17" s="24">
        <v>108</v>
      </c>
      <c r="R17" s="24">
        <v>11515</v>
      </c>
      <c r="S17" s="26">
        <f t="shared" si="2"/>
        <v>31.205962059620596</v>
      </c>
    </row>
    <row r="18" spans="1:19" ht="15" customHeight="1" x14ac:dyDescent="0.2">
      <c r="A18" s="41" t="s">
        <v>56</v>
      </c>
      <c r="B18" s="24">
        <v>43</v>
      </c>
      <c r="C18" s="24">
        <v>17043</v>
      </c>
      <c r="D18" s="24">
        <v>12351</v>
      </c>
      <c r="E18" s="25">
        <f t="shared" si="1"/>
        <v>72.469635627530366</v>
      </c>
      <c r="F18" s="24">
        <v>12053</v>
      </c>
      <c r="G18" s="24">
        <v>488</v>
      </c>
      <c r="H18" s="24">
        <v>7</v>
      </c>
      <c r="I18" s="24">
        <v>19</v>
      </c>
      <c r="J18" s="24">
        <v>78</v>
      </c>
      <c r="K18" s="24">
        <v>37</v>
      </c>
      <c r="L18" s="24">
        <v>5815</v>
      </c>
      <c r="M18" s="24">
        <v>2551</v>
      </c>
      <c r="N18" s="24">
        <v>2810</v>
      </c>
      <c r="O18" s="24">
        <v>248</v>
      </c>
      <c r="P18" s="24">
        <v>234</v>
      </c>
      <c r="Q18" s="24">
        <v>64</v>
      </c>
      <c r="R18" s="24">
        <v>4692</v>
      </c>
      <c r="S18" s="26">
        <f t="shared" si="2"/>
        <v>27.530364372469634</v>
      </c>
    </row>
    <row r="19" spans="1:19" ht="15" customHeight="1" x14ac:dyDescent="0.2">
      <c r="A19" s="41" t="s">
        <v>57</v>
      </c>
      <c r="B19" s="24">
        <v>179</v>
      </c>
      <c r="C19" s="24">
        <v>85706</v>
      </c>
      <c r="D19" s="24">
        <v>59764</v>
      </c>
      <c r="E19" s="25">
        <f t="shared" si="1"/>
        <v>69.731407369379042</v>
      </c>
      <c r="F19" s="24">
        <v>58891</v>
      </c>
      <c r="G19" s="24">
        <v>1945</v>
      </c>
      <c r="H19" s="24">
        <v>142</v>
      </c>
      <c r="I19" s="24">
        <v>58</v>
      </c>
      <c r="J19" s="24">
        <v>401</v>
      </c>
      <c r="K19" s="24">
        <v>306</v>
      </c>
      <c r="L19" s="24">
        <v>25171</v>
      </c>
      <c r="M19" s="24">
        <v>10512</v>
      </c>
      <c r="N19" s="24">
        <v>19077</v>
      </c>
      <c r="O19" s="24">
        <v>1279</v>
      </c>
      <c r="P19" s="24">
        <v>768</v>
      </c>
      <c r="Q19" s="24">
        <v>105</v>
      </c>
      <c r="R19" s="24">
        <v>25942</v>
      </c>
      <c r="S19" s="26">
        <f t="shared" si="2"/>
        <v>30.268592630620962</v>
      </c>
    </row>
    <row r="20" spans="1:19" ht="15" customHeight="1" x14ac:dyDescent="0.2">
      <c r="A20" s="41" t="s">
        <v>8</v>
      </c>
      <c r="B20" s="24">
        <v>58</v>
      </c>
      <c r="C20" s="24">
        <v>27313</v>
      </c>
      <c r="D20" s="24">
        <v>19968</v>
      </c>
      <c r="E20" s="25">
        <f t="shared" si="1"/>
        <v>73.108043788672063</v>
      </c>
      <c r="F20" s="24">
        <v>19665</v>
      </c>
      <c r="G20" s="24">
        <v>761</v>
      </c>
      <c r="H20" s="24">
        <v>14</v>
      </c>
      <c r="I20" s="24">
        <v>22</v>
      </c>
      <c r="J20" s="24">
        <v>131</v>
      </c>
      <c r="K20" s="24">
        <v>59</v>
      </c>
      <c r="L20" s="24">
        <v>9605</v>
      </c>
      <c r="M20" s="24">
        <v>4214</v>
      </c>
      <c r="N20" s="24">
        <v>4494</v>
      </c>
      <c r="O20" s="24">
        <v>365</v>
      </c>
      <c r="P20" s="24">
        <v>232</v>
      </c>
      <c r="Q20" s="24">
        <v>71</v>
      </c>
      <c r="R20" s="24">
        <v>7345</v>
      </c>
      <c r="S20" s="26">
        <f t="shared" si="2"/>
        <v>26.891956211327937</v>
      </c>
    </row>
    <row r="21" spans="1:19" ht="15" customHeight="1" x14ac:dyDescent="0.2">
      <c r="A21" s="41" t="s">
        <v>91</v>
      </c>
      <c r="B21" s="24">
        <v>93</v>
      </c>
      <c r="C21" s="24">
        <v>44270</v>
      </c>
      <c r="D21" s="24">
        <v>29153</v>
      </c>
      <c r="E21" s="25">
        <f t="shared" si="1"/>
        <v>65.852721933589336</v>
      </c>
      <c r="F21" s="24">
        <v>28592</v>
      </c>
      <c r="G21" s="24">
        <v>1294</v>
      </c>
      <c r="H21" s="24">
        <v>25</v>
      </c>
      <c r="I21" s="24">
        <v>36</v>
      </c>
      <c r="J21" s="24">
        <v>214</v>
      </c>
      <c r="K21" s="24">
        <v>107</v>
      </c>
      <c r="L21" s="24">
        <v>12914</v>
      </c>
      <c r="M21" s="24">
        <v>6801</v>
      </c>
      <c r="N21" s="24">
        <v>6201</v>
      </c>
      <c r="O21" s="24">
        <v>1000</v>
      </c>
      <c r="P21" s="24">
        <v>484</v>
      </c>
      <c r="Q21" s="24">
        <v>77</v>
      </c>
      <c r="R21" s="24">
        <v>15117</v>
      </c>
      <c r="S21" s="26">
        <f t="shared" si="2"/>
        <v>34.147278066410664</v>
      </c>
    </row>
    <row r="22" spans="1:19" ht="15" customHeight="1" x14ac:dyDescent="0.2">
      <c r="A22" s="42" t="s">
        <v>92</v>
      </c>
      <c r="B22" s="24">
        <v>91</v>
      </c>
      <c r="C22" s="24">
        <v>44773</v>
      </c>
      <c r="D22" s="24">
        <v>33084</v>
      </c>
      <c r="E22" s="25">
        <f t="shared" si="1"/>
        <v>73.892747861434344</v>
      </c>
      <c r="F22" s="24">
        <v>32642</v>
      </c>
      <c r="G22" s="24">
        <v>1088</v>
      </c>
      <c r="H22" s="24">
        <v>45</v>
      </c>
      <c r="I22" s="24">
        <v>51</v>
      </c>
      <c r="J22" s="24">
        <v>178</v>
      </c>
      <c r="K22" s="24">
        <v>143</v>
      </c>
      <c r="L22" s="24">
        <v>14375</v>
      </c>
      <c r="M22" s="24">
        <v>5578</v>
      </c>
      <c r="N22" s="24">
        <v>10452</v>
      </c>
      <c r="O22" s="24">
        <v>732</v>
      </c>
      <c r="P22" s="24">
        <v>382</v>
      </c>
      <c r="Q22" s="24">
        <v>60</v>
      </c>
      <c r="R22" s="24">
        <v>11689</v>
      </c>
      <c r="S22" s="26">
        <f t="shared" si="2"/>
        <v>26.107252138565652</v>
      </c>
    </row>
    <row r="23" spans="1:19" ht="15" customHeight="1" x14ac:dyDescent="0.2">
      <c r="A23" s="41" t="s">
        <v>93</v>
      </c>
      <c r="B23" s="24">
        <v>44</v>
      </c>
      <c r="C23" s="24">
        <v>14081</v>
      </c>
      <c r="D23" s="24">
        <v>10028</v>
      </c>
      <c r="E23" s="25">
        <f t="shared" si="1"/>
        <v>71.216532916696266</v>
      </c>
      <c r="F23" s="24">
        <v>9786</v>
      </c>
      <c r="G23" s="24">
        <v>360</v>
      </c>
      <c r="H23" s="24">
        <v>13</v>
      </c>
      <c r="I23" s="24">
        <v>36</v>
      </c>
      <c r="J23" s="24">
        <v>54</v>
      </c>
      <c r="K23" s="24">
        <v>16</v>
      </c>
      <c r="L23" s="24">
        <v>4569</v>
      </c>
      <c r="M23" s="24">
        <v>1849</v>
      </c>
      <c r="N23" s="24">
        <v>2707</v>
      </c>
      <c r="O23" s="24">
        <v>182</v>
      </c>
      <c r="P23" s="24">
        <v>174</v>
      </c>
      <c r="Q23" s="24">
        <v>68</v>
      </c>
      <c r="R23" s="24">
        <v>4053</v>
      </c>
      <c r="S23" s="26">
        <f t="shared" si="2"/>
        <v>28.783467083303744</v>
      </c>
    </row>
    <row r="24" spans="1:19" ht="15" customHeight="1" x14ac:dyDescent="0.2">
      <c r="A24" s="41" t="s">
        <v>94</v>
      </c>
      <c r="B24" s="24">
        <v>115</v>
      </c>
      <c r="C24" s="24">
        <v>55673</v>
      </c>
      <c r="D24" s="24">
        <v>39545</v>
      </c>
      <c r="E24" s="25">
        <f t="shared" si="1"/>
        <v>71.030840802543423</v>
      </c>
      <c r="F24" s="24">
        <v>39027</v>
      </c>
      <c r="G24" s="24">
        <v>1379</v>
      </c>
      <c r="H24" s="24">
        <v>38</v>
      </c>
      <c r="I24" s="24">
        <v>39</v>
      </c>
      <c r="J24" s="24">
        <v>218</v>
      </c>
      <c r="K24" s="24">
        <v>130</v>
      </c>
      <c r="L24" s="24">
        <v>17778</v>
      </c>
      <c r="M24" s="24">
        <v>6956</v>
      </c>
      <c r="N24" s="24">
        <v>11740</v>
      </c>
      <c r="O24" s="24">
        <v>749</v>
      </c>
      <c r="P24" s="24">
        <v>440</v>
      </c>
      <c r="Q24" s="24">
        <v>77.999999999999943</v>
      </c>
      <c r="R24" s="24">
        <v>16128</v>
      </c>
      <c r="S24" s="26">
        <f t="shared" si="2"/>
        <v>28.96915919745658</v>
      </c>
    </row>
    <row r="25" spans="1:19" ht="15" customHeight="1" x14ac:dyDescent="0.2">
      <c r="A25" s="41" t="s">
        <v>95</v>
      </c>
      <c r="B25" s="24">
        <v>83</v>
      </c>
      <c r="C25" s="24">
        <v>39778</v>
      </c>
      <c r="D25" s="24">
        <v>29174</v>
      </c>
      <c r="E25" s="25">
        <f t="shared" si="1"/>
        <v>73.342048368444864</v>
      </c>
      <c r="F25" s="24">
        <v>28821</v>
      </c>
      <c r="G25" s="24">
        <v>836</v>
      </c>
      <c r="H25" s="24">
        <v>35</v>
      </c>
      <c r="I25" s="24">
        <v>47</v>
      </c>
      <c r="J25" s="24">
        <v>153</v>
      </c>
      <c r="K25" s="24">
        <v>102</v>
      </c>
      <c r="L25" s="24">
        <v>13403</v>
      </c>
      <c r="M25" s="24">
        <v>4259</v>
      </c>
      <c r="N25" s="24">
        <v>9500</v>
      </c>
      <c r="O25" s="24">
        <v>486</v>
      </c>
      <c r="P25" s="24">
        <v>302</v>
      </c>
      <c r="Q25" s="24">
        <v>51</v>
      </c>
      <c r="R25" s="24">
        <v>10604</v>
      </c>
      <c r="S25" s="26">
        <f t="shared" si="2"/>
        <v>26.657951631555132</v>
      </c>
    </row>
    <row r="26" spans="1:19" ht="15" customHeight="1" x14ac:dyDescent="0.2">
      <c r="A26" s="41" t="s">
        <v>96</v>
      </c>
      <c r="B26" s="24">
        <v>85</v>
      </c>
      <c r="C26" s="24">
        <v>41139</v>
      </c>
      <c r="D26" s="24">
        <v>30592</v>
      </c>
      <c r="E26" s="25">
        <f t="shared" si="1"/>
        <v>74.362527042465786</v>
      </c>
      <c r="F26" s="24">
        <v>30231</v>
      </c>
      <c r="G26" s="24">
        <v>773</v>
      </c>
      <c r="H26" s="24">
        <v>48</v>
      </c>
      <c r="I26" s="24">
        <v>23</v>
      </c>
      <c r="J26" s="24">
        <v>106</v>
      </c>
      <c r="K26" s="24">
        <v>154</v>
      </c>
      <c r="L26" s="24">
        <v>13560</v>
      </c>
      <c r="M26" s="24">
        <v>3641</v>
      </c>
      <c r="N26" s="24">
        <v>11467</v>
      </c>
      <c r="O26" s="24">
        <v>459</v>
      </c>
      <c r="P26" s="24">
        <v>312</v>
      </c>
      <c r="Q26" s="24">
        <v>49</v>
      </c>
      <c r="R26" s="24">
        <v>10547</v>
      </c>
      <c r="S26" s="26">
        <f t="shared" si="2"/>
        <v>25.637472957534214</v>
      </c>
    </row>
    <row r="27" spans="1:19" ht="15" customHeight="1" x14ac:dyDescent="0.2">
      <c r="A27" s="41" t="s">
        <v>97</v>
      </c>
      <c r="B27" s="24">
        <v>16</v>
      </c>
      <c r="C27" s="24">
        <v>3963</v>
      </c>
      <c r="D27" s="24">
        <v>2980</v>
      </c>
      <c r="E27" s="25">
        <f t="shared" si="1"/>
        <v>75.1955589200101</v>
      </c>
      <c r="F27" s="24">
        <v>2921</v>
      </c>
      <c r="G27" s="24">
        <v>248</v>
      </c>
      <c r="H27" s="24">
        <v>3</v>
      </c>
      <c r="I27" s="24">
        <v>5</v>
      </c>
      <c r="J27" s="24">
        <v>8</v>
      </c>
      <c r="K27" s="24">
        <v>6</v>
      </c>
      <c r="L27" s="24">
        <v>1642</v>
      </c>
      <c r="M27" s="24">
        <v>549</v>
      </c>
      <c r="N27" s="24">
        <v>438</v>
      </c>
      <c r="O27" s="24">
        <v>22</v>
      </c>
      <c r="P27" s="24">
        <v>50</v>
      </c>
      <c r="Q27" s="24">
        <v>9</v>
      </c>
      <c r="R27" s="24">
        <v>983</v>
      </c>
      <c r="S27" s="26">
        <f t="shared" si="2"/>
        <v>24.804441079989907</v>
      </c>
    </row>
    <row r="28" spans="1:19" ht="15" customHeight="1" x14ac:dyDescent="0.2">
      <c r="A28" s="41" t="s">
        <v>98</v>
      </c>
      <c r="B28" s="24">
        <v>14</v>
      </c>
      <c r="C28" s="24">
        <v>4789</v>
      </c>
      <c r="D28" s="24">
        <v>3215</v>
      </c>
      <c r="E28" s="25">
        <f t="shared" si="1"/>
        <v>67.133013155147211</v>
      </c>
      <c r="F28" s="24">
        <v>3163</v>
      </c>
      <c r="G28" s="24">
        <v>99</v>
      </c>
      <c r="H28" s="24">
        <v>4</v>
      </c>
      <c r="I28" s="24">
        <v>10</v>
      </c>
      <c r="J28" s="24">
        <v>14</v>
      </c>
      <c r="K28" s="24">
        <v>5</v>
      </c>
      <c r="L28" s="24">
        <v>1361</v>
      </c>
      <c r="M28" s="24">
        <v>355</v>
      </c>
      <c r="N28" s="24">
        <v>1281</v>
      </c>
      <c r="O28" s="24">
        <v>34</v>
      </c>
      <c r="P28" s="24">
        <v>33</v>
      </c>
      <c r="Q28" s="24">
        <v>19</v>
      </c>
      <c r="R28" s="24">
        <v>1574</v>
      </c>
      <c r="S28" s="26">
        <f t="shared" si="2"/>
        <v>32.866986844852789</v>
      </c>
    </row>
    <row r="29" spans="1:19" ht="15" customHeight="1" x14ac:dyDescent="0.2">
      <c r="A29" s="41" t="s">
        <v>99</v>
      </c>
      <c r="B29" s="24">
        <v>91</v>
      </c>
      <c r="C29" s="24">
        <v>43957</v>
      </c>
      <c r="D29" s="24">
        <v>31958</v>
      </c>
      <c r="E29" s="25">
        <f t="shared" si="1"/>
        <v>72.702868712605508</v>
      </c>
      <c r="F29" s="24">
        <v>31439</v>
      </c>
      <c r="G29" s="24">
        <v>865</v>
      </c>
      <c r="H29" s="24">
        <v>36</v>
      </c>
      <c r="I29" s="24">
        <v>21</v>
      </c>
      <c r="J29" s="24">
        <v>174</v>
      </c>
      <c r="K29" s="24">
        <v>91</v>
      </c>
      <c r="L29" s="24">
        <v>15373</v>
      </c>
      <c r="M29" s="24">
        <v>5430</v>
      </c>
      <c r="N29" s="24">
        <v>8805</v>
      </c>
      <c r="O29" s="24">
        <v>644</v>
      </c>
      <c r="P29" s="24">
        <v>448</v>
      </c>
      <c r="Q29" s="24">
        <v>71</v>
      </c>
      <c r="R29" s="24">
        <v>11999</v>
      </c>
      <c r="S29" s="26">
        <f t="shared" si="2"/>
        <v>27.2971312873945</v>
      </c>
    </row>
    <row r="30" spans="1:19" ht="15" customHeight="1" x14ac:dyDescent="0.2">
      <c r="A30" s="41" t="s">
        <v>100</v>
      </c>
      <c r="B30" s="24">
        <v>251</v>
      </c>
      <c r="C30" s="24">
        <v>96629</v>
      </c>
      <c r="D30" s="24">
        <v>64803</v>
      </c>
      <c r="E30" s="25">
        <f t="shared" si="1"/>
        <v>67.063717931469853</v>
      </c>
      <c r="F30" s="24">
        <v>63449</v>
      </c>
      <c r="G30" s="24">
        <v>1492</v>
      </c>
      <c r="H30" s="24">
        <v>48</v>
      </c>
      <c r="I30" s="24">
        <v>91</v>
      </c>
      <c r="J30" s="24">
        <v>276</v>
      </c>
      <c r="K30" s="24">
        <v>147</v>
      </c>
      <c r="L30" s="24">
        <v>29435</v>
      </c>
      <c r="M30" s="24">
        <v>6983</v>
      </c>
      <c r="N30" s="24">
        <v>23886</v>
      </c>
      <c r="O30" s="24">
        <v>1091</v>
      </c>
      <c r="P30" s="24">
        <v>1075</v>
      </c>
      <c r="Q30" s="24">
        <v>279</v>
      </c>
      <c r="R30" s="24">
        <v>31826</v>
      </c>
      <c r="S30" s="26">
        <f t="shared" si="2"/>
        <v>32.936282068530154</v>
      </c>
    </row>
    <row r="31" spans="1:19" ht="15" customHeight="1" x14ac:dyDescent="0.2">
      <c r="A31" s="41" t="s">
        <v>101</v>
      </c>
      <c r="B31" s="24">
        <v>26</v>
      </c>
      <c r="C31" s="24">
        <v>8009</v>
      </c>
      <c r="D31" s="24">
        <v>5409</v>
      </c>
      <c r="E31" s="25">
        <f t="shared" si="1"/>
        <v>67.536521413409915</v>
      </c>
      <c r="F31" s="24">
        <v>5279</v>
      </c>
      <c r="G31" s="24">
        <v>210</v>
      </c>
      <c r="H31" s="24">
        <v>4</v>
      </c>
      <c r="I31" s="24">
        <v>20</v>
      </c>
      <c r="J31" s="24">
        <v>32</v>
      </c>
      <c r="K31" s="24">
        <v>16</v>
      </c>
      <c r="L31" s="24">
        <v>2855</v>
      </c>
      <c r="M31" s="24">
        <v>920</v>
      </c>
      <c r="N31" s="24">
        <v>1126</v>
      </c>
      <c r="O31" s="24">
        <v>96</v>
      </c>
      <c r="P31" s="24">
        <v>80</v>
      </c>
      <c r="Q31" s="24">
        <v>50</v>
      </c>
      <c r="R31" s="24">
        <v>2600</v>
      </c>
      <c r="S31" s="26">
        <f t="shared" si="2"/>
        <v>32.463478586590085</v>
      </c>
    </row>
    <row r="32" spans="1:19" ht="15" customHeight="1" x14ac:dyDescent="0.2">
      <c r="A32" s="18"/>
      <c r="B32" s="15"/>
      <c r="C32" s="15"/>
      <c r="D32" s="15"/>
      <c r="E32" s="16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26"/>
    </row>
    <row r="33" spans="1:19" s="31" customFormat="1" ht="15" customHeight="1" x14ac:dyDescent="0.25">
      <c r="A33" s="27" t="s">
        <v>43</v>
      </c>
      <c r="B33" s="28">
        <v>1252</v>
      </c>
      <c r="C33" s="28">
        <v>524215</v>
      </c>
      <c r="D33" s="28">
        <v>374952</v>
      </c>
      <c r="E33" s="29">
        <f>+D33/C33*100</f>
        <v>71.526377535934685</v>
      </c>
      <c r="F33" s="28">
        <v>367843</v>
      </c>
      <c r="G33" s="28">
        <v>11887</v>
      </c>
      <c r="H33" s="28">
        <v>275</v>
      </c>
      <c r="I33" s="28">
        <v>659.00000000000057</v>
      </c>
      <c r="J33" s="28">
        <v>2788</v>
      </c>
      <c r="K33" s="28">
        <v>829.99999999999886</v>
      </c>
      <c r="L33" s="28">
        <v>166655</v>
      </c>
      <c r="M33" s="28">
        <v>80589.999999999811</v>
      </c>
      <c r="N33" s="28">
        <v>97399</v>
      </c>
      <c r="O33" s="28">
        <v>6759.99999999999</v>
      </c>
      <c r="P33" s="28">
        <v>5798</v>
      </c>
      <c r="Q33" s="28">
        <v>1311</v>
      </c>
      <c r="R33" s="28">
        <v>149263</v>
      </c>
      <c r="S33" s="30">
        <f>+R33/C33*100</f>
        <v>28.473622464065318</v>
      </c>
    </row>
    <row r="34" spans="1:19" s="32" customFormat="1" ht="15" customHeight="1" x14ac:dyDescent="0.25">
      <c r="A34" s="18"/>
      <c r="B34" s="15"/>
      <c r="C34" s="15"/>
      <c r="D34" s="15"/>
      <c r="E34" s="16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26"/>
    </row>
    <row r="35" spans="1:19" ht="15" customHeight="1" x14ac:dyDescent="0.2">
      <c r="A35" s="41" t="s">
        <v>12</v>
      </c>
      <c r="B35" s="24">
        <v>376</v>
      </c>
      <c r="C35" s="24">
        <v>170966</v>
      </c>
      <c r="D35" s="24">
        <v>119832</v>
      </c>
      <c r="E35" s="25">
        <f t="shared" ref="E35:E49" si="3">+D35/C35*100</f>
        <v>70.091129230373298</v>
      </c>
      <c r="F35" s="24">
        <v>117764</v>
      </c>
      <c r="G35" s="24">
        <v>3868</v>
      </c>
      <c r="H35" s="24">
        <v>97</v>
      </c>
      <c r="I35" s="24">
        <v>159</v>
      </c>
      <c r="J35" s="24">
        <v>682</v>
      </c>
      <c r="K35" s="24">
        <v>279</v>
      </c>
      <c r="L35" s="24">
        <v>54697</v>
      </c>
      <c r="M35" s="24">
        <v>27992</v>
      </c>
      <c r="N35" s="24">
        <v>27209</v>
      </c>
      <c r="O35" s="24">
        <v>2781</v>
      </c>
      <c r="P35" s="24">
        <v>1810</v>
      </c>
      <c r="Q35" s="24">
        <v>258</v>
      </c>
      <c r="R35" s="24">
        <v>51134</v>
      </c>
      <c r="S35" s="26">
        <f t="shared" ref="S35:S49" si="4">+R35/C35*100</f>
        <v>29.908870769626709</v>
      </c>
    </row>
    <row r="36" spans="1:19" ht="15" customHeight="1" x14ac:dyDescent="0.2">
      <c r="A36" s="41" t="s">
        <v>13</v>
      </c>
      <c r="B36" s="24">
        <v>126</v>
      </c>
      <c r="C36" s="24">
        <v>52853</v>
      </c>
      <c r="D36" s="24">
        <v>38829</v>
      </c>
      <c r="E36" s="25">
        <f t="shared" si="3"/>
        <v>73.466028418443614</v>
      </c>
      <c r="F36" s="24">
        <v>38088</v>
      </c>
      <c r="G36" s="24">
        <v>889</v>
      </c>
      <c r="H36" s="24">
        <v>25</v>
      </c>
      <c r="I36" s="24">
        <v>83</v>
      </c>
      <c r="J36" s="24">
        <v>289</v>
      </c>
      <c r="K36" s="24">
        <v>104</v>
      </c>
      <c r="L36" s="24">
        <v>15201</v>
      </c>
      <c r="M36" s="24">
        <v>5793</v>
      </c>
      <c r="N36" s="24">
        <v>15177</v>
      </c>
      <c r="O36" s="24">
        <v>527</v>
      </c>
      <c r="P36" s="24">
        <v>566</v>
      </c>
      <c r="Q36" s="24">
        <v>175</v>
      </c>
      <c r="R36" s="24">
        <v>14024</v>
      </c>
      <c r="S36" s="26">
        <f t="shared" si="4"/>
        <v>26.533971581556393</v>
      </c>
    </row>
    <row r="37" spans="1:19" ht="15" customHeight="1" x14ac:dyDescent="0.2">
      <c r="A37" s="41" t="s">
        <v>14</v>
      </c>
      <c r="B37" s="24">
        <v>119</v>
      </c>
      <c r="C37" s="24">
        <v>50109</v>
      </c>
      <c r="D37" s="24">
        <v>36847</v>
      </c>
      <c r="E37" s="25">
        <f t="shared" si="3"/>
        <v>73.533696541539442</v>
      </c>
      <c r="F37" s="24">
        <v>36246</v>
      </c>
      <c r="G37" s="24">
        <v>997</v>
      </c>
      <c r="H37" s="24">
        <v>28</v>
      </c>
      <c r="I37" s="24">
        <v>59</v>
      </c>
      <c r="J37" s="24">
        <v>243</v>
      </c>
      <c r="K37" s="24">
        <v>89</v>
      </c>
      <c r="L37" s="24">
        <v>16519</v>
      </c>
      <c r="M37" s="24">
        <v>7943</v>
      </c>
      <c r="N37" s="24">
        <v>9432.0000000000055</v>
      </c>
      <c r="O37" s="24">
        <v>936</v>
      </c>
      <c r="P37" s="24">
        <v>491</v>
      </c>
      <c r="Q37" s="24">
        <v>110</v>
      </c>
      <c r="R37" s="24">
        <v>13262</v>
      </c>
      <c r="S37" s="26">
        <f t="shared" si="4"/>
        <v>26.466303458460555</v>
      </c>
    </row>
    <row r="38" spans="1:19" ht="15" customHeight="1" x14ac:dyDescent="0.2">
      <c r="A38" s="41" t="s">
        <v>15</v>
      </c>
      <c r="B38" s="24">
        <v>11</v>
      </c>
      <c r="C38" s="24">
        <v>3798</v>
      </c>
      <c r="D38" s="24">
        <v>2669</v>
      </c>
      <c r="E38" s="25">
        <f t="shared" si="3"/>
        <v>70.273828330700368</v>
      </c>
      <c r="F38" s="24">
        <v>2597</v>
      </c>
      <c r="G38" s="24">
        <v>142</v>
      </c>
      <c r="H38" s="24">
        <v>5</v>
      </c>
      <c r="I38" s="24">
        <v>8</v>
      </c>
      <c r="J38" s="24">
        <v>29</v>
      </c>
      <c r="K38" s="24">
        <v>6</v>
      </c>
      <c r="L38" s="24">
        <v>1307</v>
      </c>
      <c r="M38" s="24">
        <v>731</v>
      </c>
      <c r="N38" s="24">
        <v>339</v>
      </c>
      <c r="O38" s="24">
        <v>30</v>
      </c>
      <c r="P38" s="24">
        <v>56</v>
      </c>
      <c r="Q38" s="24">
        <v>16</v>
      </c>
      <c r="R38" s="24">
        <v>1129</v>
      </c>
      <c r="S38" s="26">
        <f t="shared" si="4"/>
        <v>29.726171669299635</v>
      </c>
    </row>
    <row r="39" spans="1:19" ht="15" customHeight="1" x14ac:dyDescent="0.2">
      <c r="A39" s="41" t="s">
        <v>16</v>
      </c>
      <c r="B39" s="24">
        <v>41</v>
      </c>
      <c r="C39" s="24">
        <v>17379</v>
      </c>
      <c r="D39" s="24">
        <v>13238</v>
      </c>
      <c r="E39" s="25">
        <f t="shared" si="3"/>
        <v>76.172391967316884</v>
      </c>
      <c r="F39" s="24">
        <v>13000</v>
      </c>
      <c r="G39" s="24">
        <v>444</v>
      </c>
      <c r="H39" s="24">
        <v>7</v>
      </c>
      <c r="I39" s="24">
        <v>32</v>
      </c>
      <c r="J39" s="24">
        <v>80</v>
      </c>
      <c r="K39" s="24">
        <v>34</v>
      </c>
      <c r="L39" s="24">
        <v>5599</v>
      </c>
      <c r="M39" s="24">
        <v>2049</v>
      </c>
      <c r="N39" s="24">
        <v>4505</v>
      </c>
      <c r="O39" s="24">
        <v>250</v>
      </c>
      <c r="P39" s="24">
        <v>185</v>
      </c>
      <c r="Q39" s="24">
        <v>53</v>
      </c>
      <c r="R39" s="24">
        <v>4141</v>
      </c>
      <c r="S39" s="26">
        <f t="shared" si="4"/>
        <v>23.827608032683123</v>
      </c>
    </row>
    <row r="40" spans="1:19" ht="15" customHeight="1" x14ac:dyDescent="0.2">
      <c r="A40" s="41" t="s">
        <v>17</v>
      </c>
      <c r="B40" s="24">
        <v>66</v>
      </c>
      <c r="C40" s="24">
        <v>27740</v>
      </c>
      <c r="D40" s="24">
        <v>20180</v>
      </c>
      <c r="E40" s="25">
        <f t="shared" si="3"/>
        <v>72.746935832732518</v>
      </c>
      <c r="F40" s="24">
        <v>19807</v>
      </c>
      <c r="G40" s="24">
        <v>661</v>
      </c>
      <c r="H40" s="24">
        <v>20</v>
      </c>
      <c r="I40" s="24">
        <v>28</v>
      </c>
      <c r="J40" s="24">
        <v>135</v>
      </c>
      <c r="K40" s="24">
        <v>52</v>
      </c>
      <c r="L40" s="24">
        <v>9186</v>
      </c>
      <c r="M40" s="24">
        <v>4602</v>
      </c>
      <c r="N40" s="24">
        <v>4810</v>
      </c>
      <c r="O40" s="24">
        <v>313</v>
      </c>
      <c r="P40" s="24">
        <v>287</v>
      </c>
      <c r="Q40" s="24">
        <v>86</v>
      </c>
      <c r="R40" s="24">
        <v>7560</v>
      </c>
      <c r="S40" s="26">
        <f t="shared" si="4"/>
        <v>27.253064167267482</v>
      </c>
    </row>
    <row r="41" spans="1:19" ht="15" customHeight="1" x14ac:dyDescent="0.2">
      <c r="A41" s="41" t="s">
        <v>18</v>
      </c>
      <c r="B41" s="24">
        <v>53</v>
      </c>
      <c r="C41" s="24">
        <v>24911</v>
      </c>
      <c r="D41" s="24">
        <v>18637</v>
      </c>
      <c r="E41" s="25">
        <f t="shared" si="3"/>
        <v>74.814339047007351</v>
      </c>
      <c r="F41" s="24">
        <v>18261</v>
      </c>
      <c r="G41" s="24">
        <v>466</v>
      </c>
      <c r="H41" s="24">
        <v>10</v>
      </c>
      <c r="I41" s="24">
        <v>81</v>
      </c>
      <c r="J41" s="24">
        <v>91</v>
      </c>
      <c r="K41" s="24">
        <v>63</v>
      </c>
      <c r="L41" s="24">
        <v>8264</v>
      </c>
      <c r="M41" s="24">
        <v>2891</v>
      </c>
      <c r="N41" s="24">
        <v>6105</v>
      </c>
      <c r="O41" s="24">
        <v>290</v>
      </c>
      <c r="P41" s="24">
        <v>287</v>
      </c>
      <c r="Q41" s="24">
        <v>89</v>
      </c>
      <c r="R41" s="24">
        <v>6274</v>
      </c>
      <c r="S41" s="26">
        <f t="shared" si="4"/>
        <v>25.185660952992656</v>
      </c>
    </row>
    <row r="42" spans="1:19" ht="15" customHeight="1" x14ac:dyDescent="0.2">
      <c r="A42" s="41" t="s">
        <v>58</v>
      </c>
      <c r="B42" s="24">
        <v>42</v>
      </c>
      <c r="C42" s="24">
        <v>17866</v>
      </c>
      <c r="D42" s="24">
        <v>13636</v>
      </c>
      <c r="E42" s="25">
        <f t="shared" si="3"/>
        <v>76.323743423262059</v>
      </c>
      <c r="F42" s="24">
        <v>13432</v>
      </c>
      <c r="G42" s="24">
        <v>366</v>
      </c>
      <c r="H42" s="24">
        <v>11</v>
      </c>
      <c r="I42" s="24">
        <v>20</v>
      </c>
      <c r="J42" s="24">
        <v>69</v>
      </c>
      <c r="K42" s="24">
        <v>24</v>
      </c>
      <c r="L42" s="24">
        <v>6429</v>
      </c>
      <c r="M42" s="24">
        <v>3711</v>
      </c>
      <c r="N42" s="24">
        <v>2527</v>
      </c>
      <c r="O42" s="24">
        <v>275</v>
      </c>
      <c r="P42" s="24">
        <v>173</v>
      </c>
      <c r="Q42" s="24">
        <v>31</v>
      </c>
      <c r="R42" s="24">
        <v>4230</v>
      </c>
      <c r="S42" s="26">
        <f t="shared" si="4"/>
        <v>23.676256576737938</v>
      </c>
    </row>
    <row r="43" spans="1:19" ht="15" customHeight="1" x14ac:dyDescent="0.2">
      <c r="A43" s="41" t="s">
        <v>20</v>
      </c>
      <c r="B43" s="24">
        <v>31</v>
      </c>
      <c r="C43" s="24">
        <v>12685</v>
      </c>
      <c r="D43" s="24">
        <v>8560</v>
      </c>
      <c r="E43" s="25">
        <f t="shared" si="3"/>
        <v>67.481277098935749</v>
      </c>
      <c r="F43" s="24">
        <v>8410</v>
      </c>
      <c r="G43" s="24">
        <v>510</v>
      </c>
      <c r="H43" s="24">
        <v>6</v>
      </c>
      <c r="I43" s="24">
        <v>8</v>
      </c>
      <c r="J43" s="24">
        <v>71</v>
      </c>
      <c r="K43" s="24">
        <v>9</v>
      </c>
      <c r="L43" s="24">
        <v>4626</v>
      </c>
      <c r="M43" s="24">
        <v>1988</v>
      </c>
      <c r="N43" s="24">
        <v>1059</v>
      </c>
      <c r="O43" s="24">
        <v>133</v>
      </c>
      <c r="P43" s="24">
        <v>124</v>
      </c>
      <c r="Q43" s="24">
        <v>26</v>
      </c>
      <c r="R43" s="24">
        <v>4125</v>
      </c>
      <c r="S43" s="26">
        <f t="shared" si="4"/>
        <v>32.518722901064251</v>
      </c>
    </row>
    <row r="44" spans="1:19" ht="15" customHeight="1" x14ac:dyDescent="0.2">
      <c r="A44" s="41" t="s">
        <v>102</v>
      </c>
      <c r="B44" s="24">
        <v>219</v>
      </c>
      <c r="C44" s="24">
        <v>86525</v>
      </c>
      <c r="D44" s="24">
        <v>62275</v>
      </c>
      <c r="E44" s="25">
        <f t="shared" si="3"/>
        <v>71.973418087258025</v>
      </c>
      <c r="F44" s="24">
        <v>61053</v>
      </c>
      <c r="G44" s="24">
        <v>1792</v>
      </c>
      <c r="H44" s="24">
        <v>39</v>
      </c>
      <c r="I44" s="24">
        <v>97</v>
      </c>
      <c r="J44" s="24">
        <v>695</v>
      </c>
      <c r="K44" s="24">
        <v>98</v>
      </c>
      <c r="L44" s="24">
        <v>26876</v>
      </c>
      <c r="M44" s="24">
        <v>13474</v>
      </c>
      <c r="N44" s="24">
        <v>17248</v>
      </c>
      <c r="O44" s="24">
        <v>734</v>
      </c>
      <c r="P44" s="24">
        <v>979</v>
      </c>
      <c r="Q44" s="24">
        <v>243</v>
      </c>
      <c r="R44" s="24">
        <v>24250</v>
      </c>
      <c r="S44" s="26">
        <f t="shared" si="4"/>
        <v>28.026581912741982</v>
      </c>
    </row>
    <row r="45" spans="1:19" ht="15" customHeight="1" x14ac:dyDescent="0.2">
      <c r="A45" s="41" t="s">
        <v>103</v>
      </c>
      <c r="B45" s="24">
        <v>22</v>
      </c>
      <c r="C45" s="24">
        <v>7844</v>
      </c>
      <c r="D45" s="24">
        <v>6461</v>
      </c>
      <c r="E45" s="25">
        <f t="shared" si="3"/>
        <v>82.368689444161149</v>
      </c>
      <c r="F45" s="24">
        <v>6370</v>
      </c>
      <c r="G45" s="24">
        <v>226</v>
      </c>
      <c r="H45" s="24">
        <v>3</v>
      </c>
      <c r="I45" s="24">
        <v>10</v>
      </c>
      <c r="J45" s="24">
        <v>13</v>
      </c>
      <c r="K45" s="24">
        <v>8</v>
      </c>
      <c r="L45" s="24">
        <v>3124</v>
      </c>
      <c r="M45" s="24">
        <v>719</v>
      </c>
      <c r="N45" s="24">
        <v>2198</v>
      </c>
      <c r="O45" s="24">
        <v>69</v>
      </c>
      <c r="P45" s="24">
        <v>66</v>
      </c>
      <c r="Q45" s="24">
        <v>25</v>
      </c>
      <c r="R45" s="24">
        <v>1383</v>
      </c>
      <c r="S45" s="26">
        <f t="shared" si="4"/>
        <v>17.631310555838859</v>
      </c>
    </row>
    <row r="46" spans="1:19" ht="15" customHeight="1" x14ac:dyDescent="0.2">
      <c r="A46" s="41" t="s">
        <v>104</v>
      </c>
      <c r="B46" s="24">
        <v>29</v>
      </c>
      <c r="C46" s="24">
        <v>12623</v>
      </c>
      <c r="D46" s="24">
        <v>9152</v>
      </c>
      <c r="E46" s="25">
        <f t="shared" si="3"/>
        <v>72.502574665293508</v>
      </c>
      <c r="F46" s="24">
        <v>8985</v>
      </c>
      <c r="G46" s="24">
        <v>359</v>
      </c>
      <c r="H46" s="24">
        <v>5</v>
      </c>
      <c r="I46" s="24">
        <v>10</v>
      </c>
      <c r="J46" s="24">
        <v>108</v>
      </c>
      <c r="K46" s="24">
        <v>14</v>
      </c>
      <c r="L46" s="24">
        <v>3334</v>
      </c>
      <c r="M46" s="24">
        <v>3466</v>
      </c>
      <c r="N46" s="24">
        <v>1533</v>
      </c>
      <c r="O46" s="24">
        <v>156</v>
      </c>
      <c r="P46" s="24">
        <v>132</v>
      </c>
      <c r="Q46" s="24">
        <v>35</v>
      </c>
      <c r="R46" s="24">
        <v>3471</v>
      </c>
      <c r="S46" s="26">
        <f t="shared" si="4"/>
        <v>27.497425334706488</v>
      </c>
    </row>
    <row r="47" spans="1:19" ht="15" customHeight="1" x14ac:dyDescent="0.2">
      <c r="A47" s="41" t="s">
        <v>105</v>
      </c>
      <c r="B47" s="24">
        <v>64</v>
      </c>
      <c r="C47" s="24">
        <v>21183</v>
      </c>
      <c r="D47" s="24">
        <v>13136</v>
      </c>
      <c r="E47" s="25">
        <f t="shared" si="3"/>
        <v>62.011990747297361</v>
      </c>
      <c r="F47" s="24">
        <v>12709</v>
      </c>
      <c r="G47" s="24">
        <v>522</v>
      </c>
      <c r="H47" s="24">
        <v>10</v>
      </c>
      <c r="I47" s="24">
        <v>38</v>
      </c>
      <c r="J47" s="24">
        <v>76</v>
      </c>
      <c r="K47" s="24">
        <v>26</v>
      </c>
      <c r="L47" s="24">
        <v>6626</v>
      </c>
      <c r="M47" s="24">
        <v>2391</v>
      </c>
      <c r="N47" s="24">
        <v>2885</v>
      </c>
      <c r="O47" s="24">
        <v>135</v>
      </c>
      <c r="P47" s="24">
        <v>323</v>
      </c>
      <c r="Q47" s="24">
        <v>104</v>
      </c>
      <c r="R47" s="24">
        <v>8047</v>
      </c>
      <c r="S47" s="26">
        <f t="shared" si="4"/>
        <v>37.988009252702639</v>
      </c>
    </row>
    <row r="48" spans="1:19" ht="15" customHeight="1" x14ac:dyDescent="0.2">
      <c r="A48" s="41" t="s">
        <v>106</v>
      </c>
      <c r="B48" s="24">
        <v>28</v>
      </c>
      <c r="C48" s="24">
        <v>9004</v>
      </c>
      <c r="D48" s="24">
        <v>5801</v>
      </c>
      <c r="E48" s="25">
        <f t="shared" si="3"/>
        <v>64.426921368280759</v>
      </c>
      <c r="F48" s="24">
        <v>5633</v>
      </c>
      <c r="G48" s="24">
        <v>282</v>
      </c>
      <c r="H48" s="24">
        <v>6</v>
      </c>
      <c r="I48" s="24">
        <v>13</v>
      </c>
      <c r="J48" s="24">
        <v>98</v>
      </c>
      <c r="K48" s="24">
        <v>9</v>
      </c>
      <c r="L48" s="24">
        <v>2250</v>
      </c>
      <c r="M48" s="24">
        <v>1462</v>
      </c>
      <c r="N48" s="24">
        <v>1462</v>
      </c>
      <c r="O48" s="24">
        <v>51</v>
      </c>
      <c r="P48" s="24">
        <v>139</v>
      </c>
      <c r="Q48" s="24">
        <v>29</v>
      </c>
      <c r="R48" s="24">
        <v>3203</v>
      </c>
      <c r="S48" s="26">
        <f t="shared" si="4"/>
        <v>35.573078631719234</v>
      </c>
    </row>
    <row r="49" spans="1:19" ht="15" customHeight="1" x14ac:dyDescent="0.2">
      <c r="A49" s="41" t="s">
        <v>107</v>
      </c>
      <c r="B49" s="24">
        <v>25</v>
      </c>
      <c r="C49" s="24">
        <v>8729</v>
      </c>
      <c r="D49" s="24">
        <v>5699</v>
      </c>
      <c r="E49" s="25">
        <f t="shared" si="3"/>
        <v>65.28812005957154</v>
      </c>
      <c r="F49" s="24">
        <v>5488</v>
      </c>
      <c r="G49" s="24">
        <v>363</v>
      </c>
      <c r="H49" s="24">
        <v>3</v>
      </c>
      <c r="I49" s="24">
        <v>13</v>
      </c>
      <c r="J49" s="24">
        <v>109</v>
      </c>
      <c r="K49" s="24">
        <v>15</v>
      </c>
      <c r="L49" s="24">
        <v>2617</v>
      </c>
      <c r="M49" s="24">
        <v>1378</v>
      </c>
      <c r="N49" s="24">
        <v>910</v>
      </c>
      <c r="O49" s="24">
        <v>80</v>
      </c>
      <c r="P49" s="24">
        <v>180</v>
      </c>
      <c r="Q49" s="24">
        <v>31</v>
      </c>
      <c r="R49" s="24">
        <v>3030</v>
      </c>
      <c r="S49" s="26">
        <f t="shared" si="4"/>
        <v>34.71187994042846</v>
      </c>
    </row>
    <row r="50" spans="1:19" ht="15" customHeight="1" x14ac:dyDescent="0.2">
      <c r="A50" s="18"/>
      <c r="B50" s="15"/>
      <c r="C50" s="15"/>
      <c r="D50" s="15"/>
      <c r="E50" s="16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26"/>
    </row>
    <row r="51" spans="1:19" s="31" customFormat="1" ht="15" customHeight="1" x14ac:dyDescent="0.25">
      <c r="A51" s="27" t="s">
        <v>44</v>
      </c>
      <c r="B51" s="28">
        <v>746</v>
      </c>
      <c r="C51" s="28">
        <v>328782</v>
      </c>
      <c r="D51" s="28">
        <v>243705</v>
      </c>
      <c r="E51" s="29">
        <f>+D51/C51*100</f>
        <v>74.123583407850788</v>
      </c>
      <c r="F51" s="28">
        <v>239146</v>
      </c>
      <c r="G51" s="28">
        <v>10143</v>
      </c>
      <c r="H51" s="28">
        <v>240</v>
      </c>
      <c r="I51" s="28">
        <v>388</v>
      </c>
      <c r="J51" s="28">
        <v>977</v>
      </c>
      <c r="K51" s="28">
        <v>937</v>
      </c>
      <c r="L51" s="28">
        <v>118926</v>
      </c>
      <c r="M51" s="28">
        <v>46414</v>
      </c>
      <c r="N51" s="28">
        <v>56095.000000000116</v>
      </c>
      <c r="O51" s="28">
        <v>5026</v>
      </c>
      <c r="P51" s="28">
        <v>3763</v>
      </c>
      <c r="Q51" s="28">
        <v>796</v>
      </c>
      <c r="R51" s="28">
        <v>85077.000000000116</v>
      </c>
      <c r="S51" s="30">
        <f>+R51/C51*100</f>
        <v>25.876416592149244</v>
      </c>
    </row>
    <row r="52" spans="1:19" s="32" customFormat="1" ht="15" customHeight="1" x14ac:dyDescent="0.25">
      <c r="A52" s="18"/>
      <c r="B52" s="15"/>
      <c r="C52" s="15"/>
      <c r="D52" s="15"/>
      <c r="E52" s="16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26"/>
    </row>
    <row r="53" spans="1:19" ht="15" customHeight="1" x14ac:dyDescent="0.2">
      <c r="A53" s="41" t="s">
        <v>21</v>
      </c>
      <c r="B53" s="24">
        <v>223</v>
      </c>
      <c r="C53" s="24">
        <v>104564</v>
      </c>
      <c r="D53" s="24">
        <v>79840</v>
      </c>
      <c r="E53" s="25">
        <f t="shared" ref="E53:E60" si="5">+D53/C53*100</f>
        <v>76.355150912359889</v>
      </c>
      <c r="F53" s="24">
        <v>78498</v>
      </c>
      <c r="G53" s="24">
        <v>2861</v>
      </c>
      <c r="H53" s="24">
        <v>79</v>
      </c>
      <c r="I53" s="24">
        <v>101</v>
      </c>
      <c r="J53" s="24">
        <v>316</v>
      </c>
      <c r="K53" s="24">
        <v>391</v>
      </c>
      <c r="L53" s="24">
        <v>40298</v>
      </c>
      <c r="M53" s="24">
        <v>14738</v>
      </c>
      <c r="N53" s="24">
        <v>18176</v>
      </c>
      <c r="O53" s="24">
        <v>1538</v>
      </c>
      <c r="P53" s="24">
        <v>1126</v>
      </c>
      <c r="Q53" s="24">
        <v>216</v>
      </c>
      <c r="R53" s="24">
        <v>24724</v>
      </c>
      <c r="S53" s="26">
        <f t="shared" ref="S53:S60" si="6">+R53/C53*100</f>
        <v>23.644849087640104</v>
      </c>
    </row>
    <row r="54" spans="1:19" ht="15" customHeight="1" x14ac:dyDescent="0.2">
      <c r="A54" s="41" t="s">
        <v>22</v>
      </c>
      <c r="B54" s="24">
        <v>87</v>
      </c>
      <c r="C54" s="24">
        <v>39163</v>
      </c>
      <c r="D54" s="24">
        <v>28997</v>
      </c>
      <c r="E54" s="25">
        <f t="shared" si="5"/>
        <v>74.041825192145652</v>
      </c>
      <c r="F54" s="24">
        <v>28389</v>
      </c>
      <c r="G54" s="24">
        <v>1366</v>
      </c>
      <c r="H54" s="24">
        <v>19</v>
      </c>
      <c r="I54" s="24">
        <v>47</v>
      </c>
      <c r="J54" s="24">
        <v>103</v>
      </c>
      <c r="K54" s="24">
        <v>115</v>
      </c>
      <c r="L54" s="24">
        <v>13033</v>
      </c>
      <c r="M54" s="24">
        <v>6026</v>
      </c>
      <c r="N54" s="24">
        <v>7079</v>
      </c>
      <c r="O54" s="24">
        <v>601</v>
      </c>
      <c r="P54" s="24">
        <v>488</v>
      </c>
      <c r="Q54" s="24">
        <v>120</v>
      </c>
      <c r="R54" s="24">
        <v>10166</v>
      </c>
      <c r="S54" s="26">
        <f t="shared" si="6"/>
        <v>25.958174807854352</v>
      </c>
    </row>
    <row r="55" spans="1:19" ht="15" customHeight="1" x14ac:dyDescent="0.2">
      <c r="A55" s="41" t="s">
        <v>35</v>
      </c>
      <c r="B55" s="24">
        <v>123</v>
      </c>
      <c r="C55" s="24">
        <v>57841</v>
      </c>
      <c r="D55" s="24">
        <v>41471</v>
      </c>
      <c r="E55" s="25">
        <f t="shared" si="5"/>
        <v>71.698276309192437</v>
      </c>
      <c r="F55" s="24">
        <v>40756</v>
      </c>
      <c r="G55" s="24">
        <v>1638</v>
      </c>
      <c r="H55" s="24">
        <v>57</v>
      </c>
      <c r="I55" s="24">
        <v>67</v>
      </c>
      <c r="J55" s="24">
        <v>240</v>
      </c>
      <c r="K55" s="24">
        <v>164</v>
      </c>
      <c r="L55" s="24">
        <v>18046</v>
      </c>
      <c r="M55" s="24">
        <v>8093</v>
      </c>
      <c r="N55" s="24">
        <v>11334</v>
      </c>
      <c r="O55" s="24">
        <v>1117</v>
      </c>
      <c r="P55" s="24">
        <v>623</v>
      </c>
      <c r="Q55" s="24">
        <v>92</v>
      </c>
      <c r="R55" s="24">
        <v>16370</v>
      </c>
      <c r="S55" s="26">
        <f t="shared" si="6"/>
        <v>28.301723690807556</v>
      </c>
    </row>
    <row r="56" spans="1:19" ht="15" customHeight="1" x14ac:dyDescent="0.2">
      <c r="A56" s="41" t="s">
        <v>39</v>
      </c>
      <c r="B56" s="24">
        <v>28</v>
      </c>
      <c r="C56" s="24">
        <v>10397</v>
      </c>
      <c r="D56" s="24">
        <v>7787</v>
      </c>
      <c r="E56" s="25">
        <f t="shared" si="5"/>
        <v>74.896604789843224</v>
      </c>
      <c r="F56" s="24">
        <v>7581</v>
      </c>
      <c r="G56" s="24">
        <v>416</v>
      </c>
      <c r="H56" s="24">
        <v>9</v>
      </c>
      <c r="I56" s="24">
        <v>13</v>
      </c>
      <c r="J56" s="24">
        <v>25</v>
      </c>
      <c r="K56" s="24">
        <v>12</v>
      </c>
      <c r="L56" s="24">
        <v>4144</v>
      </c>
      <c r="M56" s="24">
        <v>1264</v>
      </c>
      <c r="N56" s="24">
        <v>1526</v>
      </c>
      <c r="O56" s="24">
        <v>172</v>
      </c>
      <c r="P56" s="24">
        <v>146</v>
      </c>
      <c r="Q56" s="24">
        <v>60</v>
      </c>
      <c r="R56" s="24">
        <v>2610</v>
      </c>
      <c r="S56" s="26">
        <f t="shared" si="6"/>
        <v>25.103395210156776</v>
      </c>
    </row>
    <row r="57" spans="1:19" ht="15" customHeight="1" x14ac:dyDescent="0.2">
      <c r="A57" s="41" t="s">
        <v>23</v>
      </c>
      <c r="B57" s="24">
        <v>140</v>
      </c>
      <c r="C57" s="24">
        <v>51433</v>
      </c>
      <c r="D57" s="24">
        <v>36209</v>
      </c>
      <c r="E57" s="25">
        <f t="shared" si="5"/>
        <v>70.400326638539454</v>
      </c>
      <c r="F57" s="24">
        <v>35464</v>
      </c>
      <c r="G57" s="24">
        <v>1787</v>
      </c>
      <c r="H57" s="24">
        <v>33</v>
      </c>
      <c r="I57" s="24">
        <v>78</v>
      </c>
      <c r="J57" s="24">
        <v>120</v>
      </c>
      <c r="K57" s="24">
        <v>99.000000000000057</v>
      </c>
      <c r="L57" s="24">
        <v>18415</v>
      </c>
      <c r="M57" s="24">
        <v>6490</v>
      </c>
      <c r="N57" s="24">
        <v>7871</v>
      </c>
      <c r="O57" s="24">
        <v>571</v>
      </c>
      <c r="P57" s="24">
        <v>600</v>
      </c>
      <c r="Q57" s="24">
        <v>145</v>
      </c>
      <c r="R57" s="24">
        <v>15224</v>
      </c>
      <c r="S57" s="26">
        <f t="shared" si="6"/>
        <v>29.599673361460543</v>
      </c>
    </row>
    <row r="58" spans="1:19" ht="15" customHeight="1" x14ac:dyDescent="0.2">
      <c r="A58" s="41" t="s">
        <v>59</v>
      </c>
      <c r="B58" s="24">
        <v>21</v>
      </c>
      <c r="C58" s="24">
        <v>8510</v>
      </c>
      <c r="D58" s="24">
        <v>6265</v>
      </c>
      <c r="E58" s="25">
        <f t="shared" si="5"/>
        <v>73.619271445358407</v>
      </c>
      <c r="F58" s="24">
        <v>6124</v>
      </c>
      <c r="G58" s="24">
        <v>281</v>
      </c>
      <c r="H58" s="24">
        <v>4</v>
      </c>
      <c r="I58" s="24">
        <v>10</v>
      </c>
      <c r="J58" s="24">
        <v>17</v>
      </c>
      <c r="K58" s="24">
        <v>11</v>
      </c>
      <c r="L58" s="24">
        <v>3035</v>
      </c>
      <c r="M58" s="24">
        <v>1078</v>
      </c>
      <c r="N58" s="24">
        <v>1579</v>
      </c>
      <c r="O58" s="24">
        <v>109</v>
      </c>
      <c r="P58" s="24">
        <v>107</v>
      </c>
      <c r="Q58" s="24">
        <v>34</v>
      </c>
      <c r="R58" s="24">
        <v>2245</v>
      </c>
      <c r="S58" s="26">
        <f t="shared" si="6"/>
        <v>26.380728554641596</v>
      </c>
    </row>
    <row r="59" spans="1:19" ht="15" customHeight="1" x14ac:dyDescent="0.2">
      <c r="A59" s="41" t="s">
        <v>60</v>
      </c>
      <c r="B59" s="24">
        <v>64</v>
      </c>
      <c r="C59" s="24">
        <v>30006</v>
      </c>
      <c r="D59" s="24">
        <v>22354</v>
      </c>
      <c r="E59" s="25">
        <f t="shared" si="5"/>
        <v>74.498433646604013</v>
      </c>
      <c r="F59" s="24">
        <v>21937</v>
      </c>
      <c r="G59" s="24">
        <v>788</v>
      </c>
      <c r="H59" s="24">
        <v>22</v>
      </c>
      <c r="I59" s="24">
        <v>43</v>
      </c>
      <c r="J59" s="24">
        <v>81</v>
      </c>
      <c r="K59" s="24">
        <v>73</v>
      </c>
      <c r="L59" s="24">
        <v>11186</v>
      </c>
      <c r="M59" s="24">
        <v>4491</v>
      </c>
      <c r="N59" s="24">
        <v>4797</v>
      </c>
      <c r="O59" s="24">
        <v>456</v>
      </c>
      <c r="P59" s="24">
        <v>355</v>
      </c>
      <c r="Q59" s="24">
        <v>62</v>
      </c>
      <c r="R59" s="24">
        <v>7652</v>
      </c>
      <c r="S59" s="26">
        <f t="shared" si="6"/>
        <v>25.501566353395987</v>
      </c>
    </row>
    <row r="60" spans="1:19" ht="15" customHeight="1" x14ac:dyDescent="0.2">
      <c r="A60" s="41" t="s">
        <v>61</v>
      </c>
      <c r="B60" s="24">
        <v>60</v>
      </c>
      <c r="C60" s="24">
        <v>26868</v>
      </c>
      <c r="D60" s="24">
        <v>20782</v>
      </c>
      <c r="E60" s="25">
        <f t="shared" si="5"/>
        <v>77.348518683936291</v>
      </c>
      <c r="F60" s="24">
        <v>20397</v>
      </c>
      <c r="G60" s="24">
        <v>1006</v>
      </c>
      <c r="H60" s="24">
        <v>17</v>
      </c>
      <c r="I60" s="24">
        <v>29</v>
      </c>
      <c r="J60" s="24">
        <v>75</v>
      </c>
      <c r="K60" s="24">
        <v>72</v>
      </c>
      <c r="L60" s="24">
        <v>10769</v>
      </c>
      <c r="M60" s="24">
        <v>4234</v>
      </c>
      <c r="N60" s="24">
        <v>3733</v>
      </c>
      <c r="O60" s="24">
        <v>462</v>
      </c>
      <c r="P60" s="24">
        <v>318</v>
      </c>
      <c r="Q60" s="24">
        <v>67</v>
      </c>
      <c r="R60" s="24">
        <v>6086</v>
      </c>
      <c r="S60" s="26">
        <f t="shared" si="6"/>
        <v>22.65148131606372</v>
      </c>
    </row>
    <row r="61" spans="1:19" ht="15" customHeight="1" x14ac:dyDescent="0.25">
      <c r="A61" s="18"/>
      <c r="B61" s="15"/>
      <c r="C61" s="15"/>
      <c r="D61" s="15"/>
      <c r="E61" s="16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33"/>
    </row>
    <row r="62" spans="1:19" s="31" customFormat="1" ht="15" customHeight="1" x14ac:dyDescent="0.25">
      <c r="A62" s="27" t="s">
        <v>45</v>
      </c>
      <c r="B62" s="28">
        <v>604</v>
      </c>
      <c r="C62" s="28">
        <v>278544</v>
      </c>
      <c r="D62" s="28">
        <v>203705</v>
      </c>
      <c r="E62" s="29">
        <f>+D62/C62*100</f>
        <v>73.132072491240166</v>
      </c>
      <c r="F62" s="28">
        <v>200493</v>
      </c>
      <c r="G62" s="28">
        <v>6382</v>
      </c>
      <c r="H62" s="28">
        <v>165</v>
      </c>
      <c r="I62" s="28">
        <v>288</v>
      </c>
      <c r="J62" s="28">
        <v>1164</v>
      </c>
      <c r="K62" s="28">
        <v>905.00000000000057</v>
      </c>
      <c r="L62" s="28">
        <v>93470.999999999869</v>
      </c>
      <c r="M62" s="28">
        <v>39016</v>
      </c>
      <c r="N62" s="28">
        <v>55425</v>
      </c>
      <c r="O62" s="28">
        <v>3677</v>
      </c>
      <c r="P62" s="28">
        <v>2644</v>
      </c>
      <c r="Q62" s="28">
        <v>568</v>
      </c>
      <c r="R62" s="28">
        <v>74839</v>
      </c>
      <c r="S62" s="30">
        <f>+R62/C62*100</f>
        <v>26.867927508759838</v>
      </c>
    </row>
    <row r="63" spans="1:19" s="32" customFormat="1" ht="15" customHeight="1" x14ac:dyDescent="0.25">
      <c r="A63" s="18"/>
      <c r="B63" s="15"/>
      <c r="C63" s="15"/>
      <c r="D63" s="15"/>
      <c r="E63" s="16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26"/>
    </row>
    <row r="64" spans="1:19" ht="15" customHeight="1" x14ac:dyDescent="0.2">
      <c r="A64" s="41" t="s">
        <v>24</v>
      </c>
      <c r="B64" s="24">
        <v>176</v>
      </c>
      <c r="C64" s="24">
        <v>84511</v>
      </c>
      <c r="D64" s="24">
        <v>61372</v>
      </c>
      <c r="E64" s="25">
        <f>+D64/C64*100</f>
        <v>72.620132290471062</v>
      </c>
      <c r="F64" s="24">
        <v>60598</v>
      </c>
      <c r="G64" s="24">
        <v>1939</v>
      </c>
      <c r="H64" s="24">
        <v>51</v>
      </c>
      <c r="I64" s="24">
        <v>64</v>
      </c>
      <c r="J64" s="24">
        <v>250</v>
      </c>
      <c r="K64" s="24">
        <v>335</v>
      </c>
      <c r="L64" s="24">
        <v>29625</v>
      </c>
      <c r="M64" s="24">
        <v>10412</v>
      </c>
      <c r="N64" s="24">
        <v>16836</v>
      </c>
      <c r="O64" s="24">
        <v>1086</v>
      </c>
      <c r="P64" s="24">
        <v>638</v>
      </c>
      <c r="Q64" s="24">
        <v>136</v>
      </c>
      <c r="R64" s="24">
        <v>23139</v>
      </c>
      <c r="S64" s="26">
        <f>+R64/C64*100</f>
        <v>27.379867709528938</v>
      </c>
    </row>
    <row r="65" spans="1:19" ht="15" customHeight="1" x14ac:dyDescent="0.2">
      <c r="A65" s="41" t="s">
        <v>25</v>
      </c>
      <c r="B65" s="24">
        <v>58</v>
      </c>
      <c r="C65" s="24">
        <v>26982</v>
      </c>
      <c r="D65" s="24">
        <v>20374</v>
      </c>
      <c r="E65" s="25">
        <f>+D65/C65*100</f>
        <v>75.509598991920541</v>
      </c>
      <c r="F65" s="24">
        <v>20089</v>
      </c>
      <c r="G65" s="24">
        <v>459</v>
      </c>
      <c r="H65" s="24">
        <v>20</v>
      </c>
      <c r="I65" s="24">
        <v>38</v>
      </c>
      <c r="J65" s="24">
        <v>92</v>
      </c>
      <c r="K65" s="24">
        <v>128</v>
      </c>
      <c r="L65" s="24">
        <v>8569</v>
      </c>
      <c r="M65" s="24">
        <v>3917</v>
      </c>
      <c r="N65" s="24">
        <v>6500</v>
      </c>
      <c r="O65" s="24">
        <v>366</v>
      </c>
      <c r="P65" s="24">
        <v>237</v>
      </c>
      <c r="Q65" s="24">
        <v>48</v>
      </c>
      <c r="R65" s="24">
        <v>6608</v>
      </c>
      <c r="S65" s="26">
        <f>+R65/C65*100</f>
        <v>24.490401008079459</v>
      </c>
    </row>
    <row r="66" spans="1:19" ht="15" customHeight="1" x14ac:dyDescent="0.2">
      <c r="A66" s="41" t="s">
        <v>26</v>
      </c>
      <c r="B66" s="24">
        <v>63</v>
      </c>
      <c r="C66" s="24">
        <v>30208</v>
      </c>
      <c r="D66" s="24">
        <v>22877</v>
      </c>
      <c r="E66" s="25">
        <f>+D66/C66*100</f>
        <v>75.731594279661024</v>
      </c>
      <c r="F66" s="24">
        <v>22592</v>
      </c>
      <c r="G66" s="24">
        <v>638</v>
      </c>
      <c r="H66" s="24">
        <v>22</v>
      </c>
      <c r="I66" s="24">
        <v>18</v>
      </c>
      <c r="J66" s="24">
        <v>99</v>
      </c>
      <c r="K66" s="24">
        <v>88</v>
      </c>
      <c r="L66" s="24">
        <v>10469</v>
      </c>
      <c r="M66" s="24">
        <v>3970</v>
      </c>
      <c r="N66" s="24">
        <v>6808</v>
      </c>
      <c r="O66" s="24">
        <v>480</v>
      </c>
      <c r="P66" s="24">
        <v>230</v>
      </c>
      <c r="Q66" s="24">
        <v>55</v>
      </c>
      <c r="R66" s="24">
        <v>7331</v>
      </c>
      <c r="S66" s="26">
        <f>+R66/C66*100</f>
        <v>24.268405720338983</v>
      </c>
    </row>
    <row r="67" spans="1:19" ht="15" customHeight="1" x14ac:dyDescent="0.2">
      <c r="A67" s="41" t="s">
        <v>27</v>
      </c>
      <c r="B67" s="24">
        <v>48</v>
      </c>
      <c r="C67" s="24">
        <v>22277</v>
      </c>
      <c r="D67" s="24">
        <v>16419</v>
      </c>
      <c r="E67" s="25">
        <f t="shared" ref="E67:E73" si="7">+D67/C67*100</f>
        <v>73.703820083494193</v>
      </c>
      <c r="F67" s="24">
        <v>16146</v>
      </c>
      <c r="G67" s="24">
        <v>459</v>
      </c>
      <c r="H67" s="24">
        <v>14</v>
      </c>
      <c r="I67" s="24">
        <v>34</v>
      </c>
      <c r="J67" s="24">
        <v>93</v>
      </c>
      <c r="K67" s="24">
        <v>79</v>
      </c>
      <c r="L67" s="24">
        <v>7111</v>
      </c>
      <c r="M67" s="24">
        <v>3743</v>
      </c>
      <c r="N67" s="24">
        <v>4270</v>
      </c>
      <c r="O67" s="24">
        <v>343</v>
      </c>
      <c r="P67" s="24">
        <v>225</v>
      </c>
      <c r="Q67" s="24">
        <v>48</v>
      </c>
      <c r="R67" s="24">
        <v>5858</v>
      </c>
      <c r="S67" s="26">
        <f t="shared" ref="S67:S73" si="8">+R67/C67*100</f>
        <v>26.296179916505814</v>
      </c>
    </row>
    <row r="68" spans="1:19" ht="15" customHeight="1" x14ac:dyDescent="0.2">
      <c r="A68" s="41" t="s">
        <v>5</v>
      </c>
      <c r="B68" s="24">
        <v>62</v>
      </c>
      <c r="C68" s="24">
        <v>29077</v>
      </c>
      <c r="D68" s="24">
        <v>20853</v>
      </c>
      <c r="E68" s="25">
        <f t="shared" si="7"/>
        <v>71.716476940537206</v>
      </c>
      <c r="F68" s="24">
        <v>20485</v>
      </c>
      <c r="G68" s="24">
        <v>575</v>
      </c>
      <c r="H68" s="24">
        <v>20</v>
      </c>
      <c r="I68" s="24">
        <v>20</v>
      </c>
      <c r="J68" s="24">
        <v>82</v>
      </c>
      <c r="K68" s="24">
        <v>94</v>
      </c>
      <c r="L68" s="24">
        <v>9076</v>
      </c>
      <c r="M68" s="24">
        <v>4324</v>
      </c>
      <c r="N68" s="24">
        <v>5930</v>
      </c>
      <c r="O68" s="24">
        <v>364</v>
      </c>
      <c r="P68" s="24">
        <v>284</v>
      </c>
      <c r="Q68" s="24">
        <v>84</v>
      </c>
      <c r="R68" s="24">
        <v>8224</v>
      </c>
      <c r="S68" s="26">
        <f t="shared" si="8"/>
        <v>28.283523059462805</v>
      </c>
    </row>
    <row r="69" spans="1:19" ht="15" customHeight="1" x14ac:dyDescent="0.2">
      <c r="A69" s="41" t="s">
        <v>9</v>
      </c>
      <c r="B69" s="24">
        <v>28</v>
      </c>
      <c r="C69" s="24">
        <v>12800</v>
      </c>
      <c r="D69" s="24">
        <v>9545</v>
      </c>
      <c r="E69" s="25">
        <f t="shared" si="7"/>
        <v>74.5703125</v>
      </c>
      <c r="F69" s="24">
        <v>9374</v>
      </c>
      <c r="G69" s="24">
        <v>290</v>
      </c>
      <c r="H69" s="24">
        <v>3</v>
      </c>
      <c r="I69" s="24">
        <v>11</v>
      </c>
      <c r="J69" s="24">
        <v>38</v>
      </c>
      <c r="K69" s="24">
        <v>22</v>
      </c>
      <c r="L69" s="24">
        <v>4537</v>
      </c>
      <c r="M69" s="24">
        <v>1444</v>
      </c>
      <c r="N69" s="24">
        <v>2844</v>
      </c>
      <c r="O69" s="24">
        <v>185</v>
      </c>
      <c r="P69" s="24">
        <v>128</v>
      </c>
      <c r="Q69" s="24">
        <v>43</v>
      </c>
      <c r="R69" s="24">
        <v>3255</v>
      </c>
      <c r="S69" s="26">
        <f t="shared" si="8"/>
        <v>25.429687499999996</v>
      </c>
    </row>
    <row r="70" spans="1:19" ht="15" customHeight="1" x14ac:dyDescent="0.2">
      <c r="A70" s="41" t="s">
        <v>31</v>
      </c>
      <c r="B70" s="24">
        <v>32</v>
      </c>
      <c r="C70" s="24">
        <v>15687</v>
      </c>
      <c r="D70" s="24">
        <v>12012</v>
      </c>
      <c r="E70" s="25">
        <f t="shared" si="7"/>
        <v>76.572958500669344</v>
      </c>
      <c r="F70" s="24">
        <v>11847</v>
      </c>
      <c r="G70" s="24">
        <v>558</v>
      </c>
      <c r="H70" s="24">
        <v>4</v>
      </c>
      <c r="I70" s="24">
        <v>10</v>
      </c>
      <c r="J70" s="24">
        <v>21</v>
      </c>
      <c r="K70" s="24">
        <v>31</v>
      </c>
      <c r="L70" s="24">
        <v>6152</v>
      </c>
      <c r="M70" s="24">
        <v>2137</v>
      </c>
      <c r="N70" s="24">
        <v>2742</v>
      </c>
      <c r="O70" s="24">
        <v>192</v>
      </c>
      <c r="P70" s="24">
        <v>136</v>
      </c>
      <c r="Q70" s="24">
        <v>29</v>
      </c>
      <c r="R70" s="24">
        <v>3675</v>
      </c>
      <c r="S70" s="26">
        <f t="shared" si="8"/>
        <v>23.427041499330656</v>
      </c>
    </row>
    <row r="71" spans="1:19" ht="15" customHeight="1" x14ac:dyDescent="0.2">
      <c r="A71" s="41" t="s">
        <v>62</v>
      </c>
      <c r="B71" s="24">
        <v>27</v>
      </c>
      <c r="C71" s="24">
        <v>13404</v>
      </c>
      <c r="D71" s="24">
        <v>10271</v>
      </c>
      <c r="E71" s="25">
        <f t="shared" si="7"/>
        <v>76.6263801850194</v>
      </c>
      <c r="F71" s="24">
        <v>10116</v>
      </c>
      <c r="G71" s="24">
        <v>334</v>
      </c>
      <c r="H71" s="24">
        <v>5</v>
      </c>
      <c r="I71" s="24">
        <v>27</v>
      </c>
      <c r="J71" s="24">
        <v>39</v>
      </c>
      <c r="K71" s="24">
        <v>26</v>
      </c>
      <c r="L71" s="24">
        <v>5183</v>
      </c>
      <c r="M71" s="24">
        <v>1873</v>
      </c>
      <c r="N71" s="24">
        <v>2477</v>
      </c>
      <c r="O71" s="24">
        <v>152</v>
      </c>
      <c r="P71" s="24">
        <v>121</v>
      </c>
      <c r="Q71" s="24">
        <v>34</v>
      </c>
      <c r="R71" s="24">
        <v>3133</v>
      </c>
      <c r="S71" s="26">
        <f t="shared" si="8"/>
        <v>23.373619814980604</v>
      </c>
    </row>
    <row r="72" spans="1:19" ht="15" customHeight="1" x14ac:dyDescent="0.2">
      <c r="A72" s="41" t="s">
        <v>10</v>
      </c>
      <c r="B72" s="24">
        <v>38</v>
      </c>
      <c r="C72" s="24">
        <v>17791</v>
      </c>
      <c r="D72" s="24">
        <v>13469</v>
      </c>
      <c r="E72" s="25">
        <f t="shared" si="7"/>
        <v>75.706818054072286</v>
      </c>
      <c r="F72" s="24">
        <v>13304</v>
      </c>
      <c r="G72" s="24">
        <v>696</v>
      </c>
      <c r="H72" s="24">
        <v>9</v>
      </c>
      <c r="I72" s="24">
        <v>17</v>
      </c>
      <c r="J72" s="24">
        <v>61</v>
      </c>
      <c r="K72" s="24">
        <v>51</v>
      </c>
      <c r="L72" s="24">
        <v>6145</v>
      </c>
      <c r="M72" s="24">
        <v>2065</v>
      </c>
      <c r="N72" s="24">
        <v>4022</v>
      </c>
      <c r="O72" s="24">
        <v>238</v>
      </c>
      <c r="P72" s="24">
        <v>143</v>
      </c>
      <c r="Q72" s="24">
        <v>22</v>
      </c>
      <c r="R72" s="24">
        <v>4322</v>
      </c>
      <c r="S72" s="26">
        <f t="shared" si="8"/>
        <v>24.293181945927717</v>
      </c>
    </row>
    <row r="73" spans="1:19" ht="15" customHeight="1" x14ac:dyDescent="0.2">
      <c r="A73" s="41" t="s">
        <v>86</v>
      </c>
      <c r="B73" s="24">
        <v>72</v>
      </c>
      <c r="C73" s="24">
        <v>25807</v>
      </c>
      <c r="D73" s="24">
        <v>16513</v>
      </c>
      <c r="E73" s="25">
        <f t="shared" si="7"/>
        <v>63.986515286550159</v>
      </c>
      <c r="F73" s="24">
        <v>15942</v>
      </c>
      <c r="G73" s="24">
        <v>434</v>
      </c>
      <c r="H73" s="24">
        <v>17</v>
      </c>
      <c r="I73" s="24">
        <v>49</v>
      </c>
      <c r="J73" s="24">
        <v>389</v>
      </c>
      <c r="K73" s="24">
        <v>51</v>
      </c>
      <c r="L73" s="24">
        <v>6604</v>
      </c>
      <c r="M73" s="24">
        <v>5131</v>
      </c>
      <c r="N73" s="24">
        <v>2996</v>
      </c>
      <c r="O73" s="24">
        <v>271</v>
      </c>
      <c r="P73" s="24">
        <v>502</v>
      </c>
      <c r="Q73" s="24">
        <v>69</v>
      </c>
      <c r="R73" s="24">
        <v>9294</v>
      </c>
      <c r="S73" s="26">
        <f t="shared" si="8"/>
        <v>36.013484713449841</v>
      </c>
    </row>
    <row r="74" spans="1:19" ht="15" customHeight="1" x14ac:dyDescent="0.2">
      <c r="A74" s="18"/>
      <c r="B74" s="15"/>
      <c r="C74" s="15"/>
      <c r="D74" s="15"/>
      <c r="E74" s="16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26"/>
    </row>
    <row r="75" spans="1:19" s="31" customFormat="1" ht="15" customHeight="1" x14ac:dyDescent="0.25">
      <c r="A75" s="27" t="s">
        <v>85</v>
      </c>
      <c r="B75" s="28">
        <v>550</v>
      </c>
      <c r="C75" s="28">
        <v>199237</v>
      </c>
      <c r="D75" s="28">
        <v>131940</v>
      </c>
      <c r="E75" s="29">
        <f>+D75/C75*100</f>
        <v>66.222639369193473</v>
      </c>
      <c r="F75" s="28">
        <v>128125</v>
      </c>
      <c r="G75" s="28">
        <v>7777</v>
      </c>
      <c r="H75" s="28">
        <v>97</v>
      </c>
      <c r="I75" s="28">
        <v>305</v>
      </c>
      <c r="J75" s="28">
        <v>1510</v>
      </c>
      <c r="K75" s="28">
        <v>373</v>
      </c>
      <c r="L75" s="28">
        <v>65843</v>
      </c>
      <c r="M75" s="28">
        <v>29841</v>
      </c>
      <c r="N75" s="28">
        <v>20341</v>
      </c>
      <c r="O75" s="28">
        <v>2038</v>
      </c>
      <c r="P75" s="28">
        <v>3063</v>
      </c>
      <c r="Q75" s="28">
        <v>752</v>
      </c>
      <c r="R75" s="28">
        <v>67297</v>
      </c>
      <c r="S75" s="30">
        <f>+R75/C75*100</f>
        <v>33.777360630806527</v>
      </c>
    </row>
    <row r="76" spans="1:19" s="32" customFormat="1" ht="15" customHeight="1" x14ac:dyDescent="0.25">
      <c r="A76" s="23"/>
      <c r="B76" s="24"/>
      <c r="C76" s="24"/>
      <c r="D76" s="24"/>
      <c r="E76" s="25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6"/>
    </row>
    <row r="77" spans="1:19" ht="15" customHeight="1" x14ac:dyDescent="0.2">
      <c r="A77" s="41" t="s">
        <v>28</v>
      </c>
      <c r="B77" s="24">
        <v>84</v>
      </c>
      <c r="C77" s="24">
        <v>36952</v>
      </c>
      <c r="D77" s="24">
        <v>22680</v>
      </c>
      <c r="E77" s="25">
        <f t="shared" ref="E77:E87" si="9">+D77/C77*100</f>
        <v>61.37692141156095</v>
      </c>
      <c r="F77" s="24">
        <v>22097</v>
      </c>
      <c r="G77" s="24">
        <v>1466</v>
      </c>
      <c r="H77" s="24">
        <v>18</v>
      </c>
      <c r="I77" s="24">
        <v>34</v>
      </c>
      <c r="J77" s="24">
        <v>258</v>
      </c>
      <c r="K77" s="24">
        <v>47</v>
      </c>
      <c r="L77" s="24">
        <v>9942</v>
      </c>
      <c r="M77" s="24">
        <v>5132</v>
      </c>
      <c r="N77" s="24">
        <v>4250</v>
      </c>
      <c r="O77" s="24">
        <v>950</v>
      </c>
      <c r="P77" s="24">
        <v>466</v>
      </c>
      <c r="Q77" s="24">
        <v>117</v>
      </c>
      <c r="R77" s="24">
        <v>14272</v>
      </c>
      <c r="S77" s="26">
        <f t="shared" ref="S77:S87" si="10">+R77/C77*100</f>
        <v>38.623078588439057</v>
      </c>
    </row>
    <row r="78" spans="1:19" ht="15" customHeight="1" x14ac:dyDescent="0.2">
      <c r="A78" s="41" t="s">
        <v>29</v>
      </c>
      <c r="B78" s="24">
        <v>106</v>
      </c>
      <c r="C78" s="24">
        <v>34993</v>
      </c>
      <c r="D78" s="24">
        <v>24486</v>
      </c>
      <c r="E78" s="25">
        <f t="shared" si="9"/>
        <v>69.973994798959794</v>
      </c>
      <c r="F78" s="24">
        <v>23722</v>
      </c>
      <c r="G78" s="24">
        <v>1728</v>
      </c>
      <c r="H78" s="24">
        <v>18</v>
      </c>
      <c r="I78" s="24">
        <v>57</v>
      </c>
      <c r="J78" s="24">
        <v>161</v>
      </c>
      <c r="K78" s="24">
        <v>105</v>
      </c>
      <c r="L78" s="24">
        <v>12875</v>
      </c>
      <c r="M78" s="24">
        <v>5603</v>
      </c>
      <c r="N78" s="24">
        <v>2921</v>
      </c>
      <c r="O78" s="24">
        <v>254</v>
      </c>
      <c r="P78" s="24">
        <v>615</v>
      </c>
      <c r="Q78" s="24">
        <v>149</v>
      </c>
      <c r="R78" s="24">
        <v>10507</v>
      </c>
      <c r="S78" s="26">
        <f t="shared" si="10"/>
        <v>30.026005201040206</v>
      </c>
    </row>
    <row r="79" spans="1:19" ht="15" customHeight="1" x14ac:dyDescent="0.2">
      <c r="A79" s="41" t="s">
        <v>11</v>
      </c>
      <c r="B79" s="24">
        <v>89</v>
      </c>
      <c r="C79" s="24">
        <v>33780</v>
      </c>
      <c r="D79" s="24">
        <v>22655</v>
      </c>
      <c r="E79" s="25">
        <f t="shared" si="9"/>
        <v>67.066311426879807</v>
      </c>
      <c r="F79" s="24">
        <v>21879</v>
      </c>
      <c r="G79" s="24">
        <v>1279</v>
      </c>
      <c r="H79" s="24">
        <v>15</v>
      </c>
      <c r="I79" s="24">
        <v>47</v>
      </c>
      <c r="J79" s="24">
        <v>222</v>
      </c>
      <c r="K79" s="24">
        <v>69</v>
      </c>
      <c r="L79" s="24">
        <v>11650</v>
      </c>
      <c r="M79" s="24">
        <v>4991</v>
      </c>
      <c r="N79" s="24">
        <v>3379</v>
      </c>
      <c r="O79" s="24">
        <v>227</v>
      </c>
      <c r="P79" s="24">
        <v>628</v>
      </c>
      <c r="Q79" s="24">
        <v>148</v>
      </c>
      <c r="R79" s="24">
        <v>11125</v>
      </c>
      <c r="S79" s="26">
        <f t="shared" si="10"/>
        <v>32.933688573120193</v>
      </c>
    </row>
    <row r="80" spans="1:19" ht="15" customHeight="1" x14ac:dyDescent="0.2">
      <c r="A80" s="41" t="s">
        <v>30</v>
      </c>
      <c r="B80" s="24">
        <v>31</v>
      </c>
      <c r="C80" s="24">
        <v>10928</v>
      </c>
      <c r="D80" s="24">
        <v>7050</v>
      </c>
      <c r="E80" s="25">
        <f t="shared" si="9"/>
        <v>64.513177159590043</v>
      </c>
      <c r="F80" s="24">
        <v>6872</v>
      </c>
      <c r="G80" s="24">
        <v>333</v>
      </c>
      <c r="H80" s="24">
        <v>5</v>
      </c>
      <c r="I80" s="24">
        <v>22</v>
      </c>
      <c r="J80" s="24">
        <v>154</v>
      </c>
      <c r="K80" s="24">
        <v>5</v>
      </c>
      <c r="L80" s="24">
        <v>3324</v>
      </c>
      <c r="M80" s="24">
        <v>1292</v>
      </c>
      <c r="N80" s="24">
        <v>1659</v>
      </c>
      <c r="O80" s="24">
        <v>78</v>
      </c>
      <c r="P80" s="24">
        <v>140</v>
      </c>
      <c r="Q80" s="24">
        <v>38</v>
      </c>
      <c r="R80" s="24">
        <v>3878</v>
      </c>
      <c r="S80" s="26">
        <f t="shared" si="10"/>
        <v>35.486822840409957</v>
      </c>
    </row>
    <row r="81" spans="1:19" ht="15" customHeight="1" x14ac:dyDescent="0.2">
      <c r="A81" s="41" t="s">
        <v>63</v>
      </c>
      <c r="B81" s="24">
        <v>47</v>
      </c>
      <c r="C81" s="24">
        <v>19540</v>
      </c>
      <c r="D81" s="24">
        <v>12272</v>
      </c>
      <c r="E81" s="25">
        <f t="shared" si="9"/>
        <v>62.804503582395085</v>
      </c>
      <c r="F81" s="24">
        <v>11939</v>
      </c>
      <c r="G81" s="24">
        <v>896</v>
      </c>
      <c r="H81" s="24">
        <v>8</v>
      </c>
      <c r="I81" s="24">
        <v>22</v>
      </c>
      <c r="J81" s="24">
        <v>193</v>
      </c>
      <c r="K81" s="24">
        <v>34</v>
      </c>
      <c r="L81" s="24">
        <v>6618</v>
      </c>
      <c r="M81" s="24">
        <v>2800</v>
      </c>
      <c r="N81" s="24">
        <v>1213</v>
      </c>
      <c r="O81" s="24">
        <v>155</v>
      </c>
      <c r="P81" s="24">
        <v>262</v>
      </c>
      <c r="Q81" s="24">
        <v>71</v>
      </c>
      <c r="R81" s="24">
        <v>7268</v>
      </c>
      <c r="S81" s="26">
        <f t="shared" si="10"/>
        <v>37.195496417604915</v>
      </c>
    </row>
    <row r="82" spans="1:19" ht="15" customHeight="1" x14ac:dyDescent="0.2">
      <c r="A82" s="41" t="s">
        <v>32</v>
      </c>
      <c r="B82" s="24">
        <v>42</v>
      </c>
      <c r="C82" s="24">
        <v>17069</v>
      </c>
      <c r="D82" s="24">
        <v>10691</v>
      </c>
      <c r="E82" s="25">
        <f t="shared" si="9"/>
        <v>62.634014880778025</v>
      </c>
      <c r="F82" s="24">
        <v>10433</v>
      </c>
      <c r="G82" s="24">
        <v>663</v>
      </c>
      <c r="H82" s="24">
        <v>5</v>
      </c>
      <c r="I82" s="24">
        <v>13</v>
      </c>
      <c r="J82" s="24">
        <v>162</v>
      </c>
      <c r="K82" s="24">
        <v>23</v>
      </c>
      <c r="L82" s="24">
        <v>5520</v>
      </c>
      <c r="M82" s="24">
        <v>2141</v>
      </c>
      <c r="N82" s="24">
        <v>1766</v>
      </c>
      <c r="O82" s="24">
        <v>140</v>
      </c>
      <c r="P82" s="24">
        <v>203</v>
      </c>
      <c r="Q82" s="24">
        <v>55</v>
      </c>
      <c r="R82" s="24">
        <v>6378</v>
      </c>
      <c r="S82" s="26">
        <f t="shared" si="10"/>
        <v>37.365985119221982</v>
      </c>
    </row>
    <row r="83" spans="1:19" ht="15" customHeight="1" x14ac:dyDescent="0.2">
      <c r="A83" s="41" t="s">
        <v>64</v>
      </c>
      <c r="B83" s="24">
        <v>37</v>
      </c>
      <c r="C83" s="24">
        <v>11481</v>
      </c>
      <c r="D83" s="24">
        <v>7808</v>
      </c>
      <c r="E83" s="25">
        <f t="shared" si="9"/>
        <v>68.008013239264869</v>
      </c>
      <c r="F83" s="24">
        <v>7537</v>
      </c>
      <c r="G83" s="24">
        <v>396</v>
      </c>
      <c r="H83" s="24">
        <v>8</v>
      </c>
      <c r="I83" s="24">
        <v>45</v>
      </c>
      <c r="J83" s="24">
        <v>68</v>
      </c>
      <c r="K83" s="24">
        <v>51</v>
      </c>
      <c r="L83" s="24">
        <v>3560</v>
      </c>
      <c r="M83" s="24">
        <v>2156</v>
      </c>
      <c r="N83" s="24">
        <v>1187</v>
      </c>
      <c r="O83" s="24">
        <v>66</v>
      </c>
      <c r="P83" s="24">
        <v>227</v>
      </c>
      <c r="Q83" s="24">
        <v>44</v>
      </c>
      <c r="R83" s="24">
        <v>3673</v>
      </c>
      <c r="S83" s="26">
        <f t="shared" si="10"/>
        <v>31.991986760735124</v>
      </c>
    </row>
    <row r="84" spans="1:19" ht="15" customHeight="1" x14ac:dyDescent="0.2">
      <c r="A84" s="41" t="s">
        <v>33</v>
      </c>
      <c r="B84" s="24">
        <v>39</v>
      </c>
      <c r="C84" s="24">
        <v>13144</v>
      </c>
      <c r="D84" s="24">
        <v>9504</v>
      </c>
      <c r="E84" s="25">
        <f t="shared" si="9"/>
        <v>72.30675593426659</v>
      </c>
      <c r="F84" s="24">
        <v>9261</v>
      </c>
      <c r="G84" s="24">
        <v>336</v>
      </c>
      <c r="H84" s="24">
        <v>8</v>
      </c>
      <c r="I84" s="24">
        <v>24</v>
      </c>
      <c r="J84" s="24">
        <v>114</v>
      </c>
      <c r="K84" s="24">
        <v>18</v>
      </c>
      <c r="L84" s="24">
        <v>4264</v>
      </c>
      <c r="M84" s="24">
        <v>2396</v>
      </c>
      <c r="N84" s="24">
        <v>2015</v>
      </c>
      <c r="O84" s="24">
        <v>86</v>
      </c>
      <c r="P84" s="24">
        <v>203</v>
      </c>
      <c r="Q84" s="24">
        <v>40</v>
      </c>
      <c r="R84" s="24">
        <v>3640</v>
      </c>
      <c r="S84" s="26">
        <f t="shared" si="10"/>
        <v>27.693244065733413</v>
      </c>
    </row>
    <row r="85" spans="1:19" ht="15" customHeight="1" x14ac:dyDescent="0.2">
      <c r="A85" s="41" t="s">
        <v>65</v>
      </c>
      <c r="B85" s="24">
        <v>29</v>
      </c>
      <c r="C85" s="24">
        <v>7390</v>
      </c>
      <c r="D85" s="24">
        <v>5343</v>
      </c>
      <c r="E85" s="25">
        <f t="shared" si="9"/>
        <v>72.300405953991884</v>
      </c>
      <c r="F85" s="24">
        <v>5183</v>
      </c>
      <c r="G85" s="24">
        <v>190</v>
      </c>
      <c r="H85" s="24">
        <v>4</v>
      </c>
      <c r="I85" s="24">
        <v>21</v>
      </c>
      <c r="J85" s="24">
        <v>42</v>
      </c>
      <c r="K85" s="24">
        <v>7</v>
      </c>
      <c r="L85" s="24">
        <v>3133</v>
      </c>
      <c r="M85" s="24">
        <v>947</v>
      </c>
      <c r="N85" s="24">
        <v>807</v>
      </c>
      <c r="O85" s="24">
        <v>32</v>
      </c>
      <c r="P85" s="24">
        <v>123</v>
      </c>
      <c r="Q85" s="24">
        <v>37</v>
      </c>
      <c r="R85" s="24">
        <v>2047</v>
      </c>
      <c r="S85" s="26">
        <f t="shared" si="10"/>
        <v>27.699594046008119</v>
      </c>
    </row>
    <row r="86" spans="1:19" ht="15" customHeight="1" x14ac:dyDescent="0.2">
      <c r="A86" s="41" t="s">
        <v>108</v>
      </c>
      <c r="B86" s="24">
        <v>28</v>
      </c>
      <c r="C86" s="24">
        <v>9025</v>
      </c>
      <c r="D86" s="24">
        <v>5748</v>
      </c>
      <c r="E86" s="25">
        <f t="shared" si="9"/>
        <v>63.689750692520775</v>
      </c>
      <c r="F86" s="24">
        <v>5596</v>
      </c>
      <c r="G86" s="24">
        <v>354</v>
      </c>
      <c r="H86" s="24">
        <v>6</v>
      </c>
      <c r="I86" s="24">
        <v>5</v>
      </c>
      <c r="J86" s="24">
        <v>102</v>
      </c>
      <c r="K86" s="24">
        <v>11</v>
      </c>
      <c r="L86" s="24">
        <v>2839</v>
      </c>
      <c r="M86" s="24">
        <v>1699</v>
      </c>
      <c r="N86" s="24">
        <v>556</v>
      </c>
      <c r="O86" s="24">
        <v>24</v>
      </c>
      <c r="P86" s="24">
        <v>128</v>
      </c>
      <c r="Q86" s="24">
        <v>24</v>
      </c>
      <c r="R86" s="24">
        <v>3277</v>
      </c>
      <c r="S86" s="26">
        <f t="shared" si="10"/>
        <v>36.310249307479225</v>
      </c>
    </row>
    <row r="87" spans="1:19" ht="15" customHeight="1" x14ac:dyDescent="0.2">
      <c r="A87" s="41" t="s">
        <v>109</v>
      </c>
      <c r="B87" s="24">
        <v>18</v>
      </c>
      <c r="C87" s="24">
        <v>4935</v>
      </c>
      <c r="D87" s="24">
        <v>3703</v>
      </c>
      <c r="E87" s="25">
        <f t="shared" si="9"/>
        <v>75.035460992907801</v>
      </c>
      <c r="F87" s="24">
        <v>3606</v>
      </c>
      <c r="G87" s="24">
        <v>136</v>
      </c>
      <c r="H87" s="24">
        <v>2</v>
      </c>
      <c r="I87" s="24">
        <v>15</v>
      </c>
      <c r="J87" s="24">
        <v>34</v>
      </c>
      <c r="K87" s="24">
        <v>3</v>
      </c>
      <c r="L87" s="24">
        <v>2118</v>
      </c>
      <c r="M87" s="24">
        <v>684</v>
      </c>
      <c r="N87" s="24">
        <v>588</v>
      </c>
      <c r="O87" s="24">
        <v>26</v>
      </c>
      <c r="P87" s="24">
        <v>68</v>
      </c>
      <c r="Q87" s="24">
        <v>29</v>
      </c>
      <c r="R87" s="24">
        <v>1232</v>
      </c>
      <c r="S87" s="26">
        <f t="shared" si="10"/>
        <v>24.964539007092199</v>
      </c>
    </row>
    <row r="88" spans="1:19" ht="15" customHeight="1" x14ac:dyDescent="0.2">
      <c r="A88" s="23"/>
      <c r="B88" s="24"/>
      <c r="C88" s="24"/>
      <c r="D88" s="24"/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6"/>
    </row>
    <row r="89" spans="1:19" s="36" customFormat="1" ht="15" customHeight="1" x14ac:dyDescent="0.25">
      <c r="A89" s="34" t="s">
        <v>47</v>
      </c>
      <c r="B89" s="28">
        <v>702</v>
      </c>
      <c r="C89" s="28">
        <v>259408</v>
      </c>
      <c r="D89" s="28">
        <v>154540</v>
      </c>
      <c r="E89" s="29">
        <f>+D89/C89*100</f>
        <v>59.574107197927582</v>
      </c>
      <c r="F89" s="28">
        <v>150167</v>
      </c>
      <c r="G89" s="28">
        <v>6675.99999999999</v>
      </c>
      <c r="H89" s="28">
        <v>134</v>
      </c>
      <c r="I89" s="28">
        <v>303</v>
      </c>
      <c r="J89" s="28">
        <v>1131</v>
      </c>
      <c r="K89" s="28">
        <v>519</v>
      </c>
      <c r="L89" s="28">
        <v>73431</v>
      </c>
      <c r="M89" s="28">
        <v>40078</v>
      </c>
      <c r="N89" s="28">
        <v>26014</v>
      </c>
      <c r="O89" s="28">
        <v>1881</v>
      </c>
      <c r="P89" s="28">
        <v>3567.9999999999923</v>
      </c>
      <c r="Q89" s="28">
        <v>805</v>
      </c>
      <c r="R89" s="28">
        <v>104868</v>
      </c>
      <c r="S89" s="35">
        <f>+R89/C89*100</f>
        <v>40.425892802072411</v>
      </c>
    </row>
    <row r="90" spans="1:19" s="32" customFormat="1" ht="15" customHeight="1" x14ac:dyDescent="0.25">
      <c r="A90" s="23"/>
      <c r="B90" s="24"/>
      <c r="C90" s="24"/>
      <c r="D90" s="24"/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6"/>
    </row>
    <row r="91" spans="1:19" ht="15" customHeight="1" x14ac:dyDescent="0.2">
      <c r="A91" s="41" t="s">
        <v>34</v>
      </c>
      <c r="B91" s="24">
        <v>200</v>
      </c>
      <c r="C91" s="24">
        <v>76163</v>
      </c>
      <c r="D91" s="24">
        <v>46464</v>
      </c>
      <c r="E91" s="25">
        <f t="shared" ref="E91:E101" si="11">+D91/C91*100</f>
        <v>61.006000288854167</v>
      </c>
      <c r="F91" s="24">
        <v>45328</v>
      </c>
      <c r="G91" s="24">
        <v>2816</v>
      </c>
      <c r="H91" s="24">
        <v>42</v>
      </c>
      <c r="I91" s="24">
        <v>73</v>
      </c>
      <c r="J91" s="24">
        <v>299</v>
      </c>
      <c r="K91" s="24">
        <v>190</v>
      </c>
      <c r="L91" s="24">
        <v>21882</v>
      </c>
      <c r="M91" s="24">
        <v>12851</v>
      </c>
      <c r="N91" s="24">
        <v>6537</v>
      </c>
      <c r="O91" s="24">
        <v>638</v>
      </c>
      <c r="P91" s="24">
        <v>954</v>
      </c>
      <c r="Q91" s="24">
        <v>182</v>
      </c>
      <c r="R91" s="24">
        <v>29699</v>
      </c>
      <c r="S91" s="26">
        <f t="shared" ref="S91:S101" si="12">+R91/C91*100</f>
        <v>38.993999711145833</v>
      </c>
    </row>
    <row r="92" spans="1:19" ht="15" customHeight="1" x14ac:dyDescent="0.2">
      <c r="A92" s="41" t="s">
        <v>66</v>
      </c>
      <c r="B92" s="24">
        <v>47</v>
      </c>
      <c r="C92" s="24">
        <v>18283</v>
      </c>
      <c r="D92" s="24">
        <v>12688</v>
      </c>
      <c r="E92" s="25">
        <f t="shared" si="11"/>
        <v>69.397801236120984</v>
      </c>
      <c r="F92" s="24">
        <v>12473</v>
      </c>
      <c r="G92" s="24">
        <v>636</v>
      </c>
      <c r="H92" s="24">
        <v>14</v>
      </c>
      <c r="I92" s="24">
        <v>13</v>
      </c>
      <c r="J92" s="24">
        <v>53</v>
      </c>
      <c r="K92" s="24">
        <v>19</v>
      </c>
      <c r="L92" s="24">
        <v>6173</v>
      </c>
      <c r="M92" s="24">
        <v>3181</v>
      </c>
      <c r="N92" s="24">
        <v>2216</v>
      </c>
      <c r="O92" s="24">
        <v>168</v>
      </c>
      <c r="P92" s="24">
        <v>193</v>
      </c>
      <c r="Q92" s="24">
        <v>22</v>
      </c>
      <c r="R92" s="24">
        <v>5595</v>
      </c>
      <c r="S92" s="26">
        <f t="shared" si="12"/>
        <v>30.602198763879013</v>
      </c>
    </row>
    <row r="93" spans="1:19" ht="15" customHeight="1" x14ac:dyDescent="0.2">
      <c r="A93" s="41" t="s">
        <v>19</v>
      </c>
      <c r="B93" s="24">
        <v>77</v>
      </c>
      <c r="C93" s="24">
        <v>26649</v>
      </c>
      <c r="D93" s="24">
        <v>15518</v>
      </c>
      <c r="E93" s="25">
        <f t="shared" si="11"/>
        <v>58.231078089234124</v>
      </c>
      <c r="F93" s="24">
        <v>15039</v>
      </c>
      <c r="G93" s="24">
        <v>355</v>
      </c>
      <c r="H93" s="24">
        <v>15</v>
      </c>
      <c r="I93" s="24">
        <v>37</v>
      </c>
      <c r="J93" s="24">
        <v>91</v>
      </c>
      <c r="K93" s="24">
        <v>61</v>
      </c>
      <c r="L93" s="24">
        <v>7347</v>
      </c>
      <c r="M93" s="24">
        <v>3239</v>
      </c>
      <c r="N93" s="24">
        <v>3691</v>
      </c>
      <c r="O93" s="24">
        <v>203</v>
      </c>
      <c r="P93" s="24">
        <v>383</v>
      </c>
      <c r="Q93" s="24">
        <v>96</v>
      </c>
      <c r="R93" s="24">
        <v>11131</v>
      </c>
      <c r="S93" s="26">
        <f t="shared" si="12"/>
        <v>41.768921910765883</v>
      </c>
    </row>
    <row r="94" spans="1:19" ht="15" customHeight="1" x14ac:dyDescent="0.2">
      <c r="A94" s="41" t="s">
        <v>67</v>
      </c>
      <c r="B94" s="24">
        <v>25</v>
      </c>
      <c r="C94" s="24">
        <v>8556</v>
      </c>
      <c r="D94" s="24">
        <v>5779</v>
      </c>
      <c r="E94" s="25">
        <f t="shared" si="11"/>
        <v>67.543244506778862</v>
      </c>
      <c r="F94" s="24">
        <v>5636</v>
      </c>
      <c r="G94" s="24">
        <v>234</v>
      </c>
      <c r="H94" s="24">
        <v>6</v>
      </c>
      <c r="I94" s="24">
        <v>13</v>
      </c>
      <c r="J94" s="24">
        <v>22</v>
      </c>
      <c r="K94" s="24">
        <v>13</v>
      </c>
      <c r="L94" s="24">
        <v>2582</v>
      </c>
      <c r="M94" s="24">
        <v>1327</v>
      </c>
      <c r="N94" s="24">
        <v>1369</v>
      </c>
      <c r="O94" s="24">
        <v>70</v>
      </c>
      <c r="P94" s="24">
        <v>114</v>
      </c>
      <c r="Q94" s="24">
        <v>29</v>
      </c>
      <c r="R94" s="24">
        <v>2777</v>
      </c>
      <c r="S94" s="26">
        <f t="shared" si="12"/>
        <v>32.456755493221131</v>
      </c>
    </row>
    <row r="95" spans="1:19" ht="15" customHeight="1" x14ac:dyDescent="0.2">
      <c r="A95" s="41" t="s">
        <v>68</v>
      </c>
      <c r="B95" s="24">
        <v>54</v>
      </c>
      <c r="C95" s="24">
        <v>18252</v>
      </c>
      <c r="D95" s="24">
        <v>10796</v>
      </c>
      <c r="E95" s="25">
        <f t="shared" si="11"/>
        <v>59.149682226605307</v>
      </c>
      <c r="F95" s="24">
        <v>10436</v>
      </c>
      <c r="G95" s="24">
        <v>393</v>
      </c>
      <c r="H95" s="24">
        <v>11</v>
      </c>
      <c r="I95" s="24">
        <v>27</v>
      </c>
      <c r="J95" s="24">
        <v>110</v>
      </c>
      <c r="K95" s="24">
        <v>37</v>
      </c>
      <c r="L95" s="24">
        <v>5169</v>
      </c>
      <c r="M95" s="24">
        <v>3209</v>
      </c>
      <c r="N95" s="24">
        <v>1345</v>
      </c>
      <c r="O95" s="24">
        <v>135</v>
      </c>
      <c r="P95" s="24">
        <v>278</v>
      </c>
      <c r="Q95" s="24">
        <v>82</v>
      </c>
      <c r="R95" s="24">
        <v>7456</v>
      </c>
      <c r="S95" s="26">
        <f t="shared" si="12"/>
        <v>40.850317773394693</v>
      </c>
    </row>
    <row r="96" spans="1:19" ht="15" customHeight="1" x14ac:dyDescent="0.2">
      <c r="A96" s="41" t="s">
        <v>69</v>
      </c>
      <c r="B96" s="24">
        <v>44</v>
      </c>
      <c r="C96" s="24">
        <v>16283</v>
      </c>
      <c r="D96" s="24">
        <v>9529</v>
      </c>
      <c r="E96" s="25">
        <f t="shared" si="11"/>
        <v>58.521157034944416</v>
      </c>
      <c r="F96" s="24">
        <v>9298</v>
      </c>
      <c r="G96" s="24">
        <v>467</v>
      </c>
      <c r="H96" s="24">
        <v>9</v>
      </c>
      <c r="I96" s="24">
        <v>21</v>
      </c>
      <c r="J96" s="24">
        <v>124</v>
      </c>
      <c r="K96" s="24">
        <v>28</v>
      </c>
      <c r="L96" s="24">
        <v>4809</v>
      </c>
      <c r="M96" s="24">
        <v>2410</v>
      </c>
      <c r="N96" s="24">
        <v>1290</v>
      </c>
      <c r="O96" s="24">
        <v>140</v>
      </c>
      <c r="P96" s="24">
        <v>188</v>
      </c>
      <c r="Q96" s="24">
        <v>43</v>
      </c>
      <c r="R96" s="24">
        <v>6754</v>
      </c>
      <c r="S96" s="26">
        <f t="shared" si="12"/>
        <v>41.478842965055577</v>
      </c>
    </row>
    <row r="97" spans="1:19" ht="15" customHeight="1" x14ac:dyDescent="0.2">
      <c r="A97" s="41" t="s">
        <v>36</v>
      </c>
      <c r="B97" s="24">
        <v>65</v>
      </c>
      <c r="C97" s="24">
        <v>24375</v>
      </c>
      <c r="D97" s="24">
        <v>13231</v>
      </c>
      <c r="E97" s="25">
        <f t="shared" si="11"/>
        <v>54.281025641025636</v>
      </c>
      <c r="F97" s="24">
        <v>12800</v>
      </c>
      <c r="G97" s="24">
        <v>401</v>
      </c>
      <c r="H97" s="24">
        <v>10</v>
      </c>
      <c r="I97" s="24">
        <v>27</v>
      </c>
      <c r="J97" s="24">
        <v>69</v>
      </c>
      <c r="K97" s="24">
        <v>43</v>
      </c>
      <c r="L97" s="24">
        <v>6213</v>
      </c>
      <c r="M97" s="24">
        <v>3664</v>
      </c>
      <c r="N97" s="24">
        <v>2242</v>
      </c>
      <c r="O97" s="24">
        <v>131</v>
      </c>
      <c r="P97" s="24">
        <v>334</v>
      </c>
      <c r="Q97" s="24">
        <v>97</v>
      </c>
      <c r="R97" s="24">
        <v>11144</v>
      </c>
      <c r="S97" s="26">
        <f t="shared" si="12"/>
        <v>45.718974358974357</v>
      </c>
    </row>
    <row r="98" spans="1:19" ht="15" customHeight="1" x14ac:dyDescent="0.2">
      <c r="A98" s="41" t="s">
        <v>70</v>
      </c>
      <c r="B98" s="24">
        <v>72</v>
      </c>
      <c r="C98" s="24">
        <v>25753</v>
      </c>
      <c r="D98" s="24">
        <v>14592</v>
      </c>
      <c r="E98" s="25">
        <f t="shared" si="11"/>
        <v>56.661359841571858</v>
      </c>
      <c r="F98" s="24">
        <v>14096</v>
      </c>
      <c r="G98" s="24">
        <v>374</v>
      </c>
      <c r="H98" s="24">
        <v>11</v>
      </c>
      <c r="I98" s="24">
        <v>32</v>
      </c>
      <c r="J98" s="24">
        <v>54</v>
      </c>
      <c r="K98" s="24">
        <v>42</v>
      </c>
      <c r="L98" s="24">
        <v>6958</v>
      </c>
      <c r="M98" s="24">
        <v>3394</v>
      </c>
      <c r="N98" s="24">
        <v>3068</v>
      </c>
      <c r="O98" s="24">
        <v>163</v>
      </c>
      <c r="P98" s="24">
        <v>395</v>
      </c>
      <c r="Q98" s="24">
        <v>101</v>
      </c>
      <c r="R98" s="24">
        <v>11161</v>
      </c>
      <c r="S98" s="26">
        <f t="shared" si="12"/>
        <v>43.338640158428142</v>
      </c>
    </row>
    <row r="99" spans="1:19" ht="15" customHeight="1" x14ac:dyDescent="0.2">
      <c r="A99" s="41" t="s">
        <v>37</v>
      </c>
      <c r="B99" s="24">
        <v>32</v>
      </c>
      <c r="C99" s="24">
        <v>9503</v>
      </c>
      <c r="D99" s="24">
        <v>6134</v>
      </c>
      <c r="E99" s="25">
        <f t="shared" si="11"/>
        <v>64.54803746185415</v>
      </c>
      <c r="F99" s="24">
        <v>5942</v>
      </c>
      <c r="G99" s="24">
        <v>235</v>
      </c>
      <c r="H99" s="24">
        <v>6</v>
      </c>
      <c r="I99" s="24">
        <v>12</v>
      </c>
      <c r="J99" s="24">
        <v>112</v>
      </c>
      <c r="K99" s="24">
        <v>9</v>
      </c>
      <c r="L99" s="24">
        <v>3214</v>
      </c>
      <c r="M99" s="24">
        <v>1849</v>
      </c>
      <c r="N99" s="24">
        <v>463</v>
      </c>
      <c r="O99" s="24">
        <v>42</v>
      </c>
      <c r="P99" s="24">
        <v>153</v>
      </c>
      <c r="Q99" s="24">
        <v>39</v>
      </c>
      <c r="R99" s="24">
        <v>3369</v>
      </c>
      <c r="S99" s="26">
        <f t="shared" si="12"/>
        <v>35.45196253814585</v>
      </c>
    </row>
    <row r="100" spans="1:19" ht="15" customHeight="1" x14ac:dyDescent="0.2">
      <c r="A100" s="41" t="s">
        <v>110</v>
      </c>
      <c r="B100" s="24">
        <v>66</v>
      </c>
      <c r="C100" s="24">
        <v>27134</v>
      </c>
      <c r="D100" s="24">
        <v>14714</v>
      </c>
      <c r="E100" s="25">
        <f t="shared" si="11"/>
        <v>54.227168865629835</v>
      </c>
      <c r="F100" s="24">
        <v>14143</v>
      </c>
      <c r="G100" s="24">
        <v>463</v>
      </c>
      <c r="H100" s="24">
        <v>8</v>
      </c>
      <c r="I100" s="24">
        <v>40</v>
      </c>
      <c r="J100" s="24">
        <v>183</v>
      </c>
      <c r="K100" s="24">
        <v>65</v>
      </c>
      <c r="L100" s="24">
        <v>6257</v>
      </c>
      <c r="M100" s="24">
        <v>3706</v>
      </c>
      <c r="N100" s="24">
        <v>3260</v>
      </c>
      <c r="O100" s="24">
        <v>161</v>
      </c>
      <c r="P100" s="24">
        <v>479</v>
      </c>
      <c r="Q100" s="24">
        <v>92</v>
      </c>
      <c r="R100" s="24">
        <v>12420</v>
      </c>
      <c r="S100" s="26">
        <f t="shared" si="12"/>
        <v>45.772831134370165</v>
      </c>
    </row>
    <row r="101" spans="1:19" ht="15" customHeight="1" x14ac:dyDescent="0.2">
      <c r="A101" s="41" t="s">
        <v>111</v>
      </c>
      <c r="B101" s="24">
        <v>20</v>
      </c>
      <c r="C101" s="24">
        <v>8457</v>
      </c>
      <c r="D101" s="24">
        <v>5095</v>
      </c>
      <c r="E101" s="25">
        <f t="shared" si="11"/>
        <v>60.245950100508452</v>
      </c>
      <c r="F101" s="24">
        <v>4976</v>
      </c>
      <c r="G101" s="24">
        <v>302</v>
      </c>
      <c r="H101" s="24">
        <v>2</v>
      </c>
      <c r="I101" s="24">
        <v>8</v>
      </c>
      <c r="J101" s="24">
        <v>14</v>
      </c>
      <c r="K101" s="24">
        <v>12</v>
      </c>
      <c r="L101" s="24">
        <v>2827</v>
      </c>
      <c r="M101" s="24">
        <v>1248</v>
      </c>
      <c r="N101" s="24">
        <v>533</v>
      </c>
      <c r="O101" s="24">
        <v>30</v>
      </c>
      <c r="P101" s="24">
        <v>97</v>
      </c>
      <c r="Q101" s="24">
        <v>22</v>
      </c>
      <c r="R101" s="24">
        <v>3362</v>
      </c>
      <c r="S101" s="26">
        <f t="shared" si="12"/>
        <v>39.754049899491548</v>
      </c>
    </row>
    <row r="102" spans="1:19" ht="15" customHeight="1" x14ac:dyDescent="0.2">
      <c r="A102" s="23"/>
      <c r="B102" s="24"/>
      <c r="C102" s="24"/>
      <c r="D102" s="24"/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6"/>
    </row>
    <row r="103" spans="1:19" s="31" customFormat="1" ht="15" customHeight="1" x14ac:dyDescent="0.25">
      <c r="A103" s="27" t="s">
        <v>48</v>
      </c>
      <c r="B103" s="28">
        <v>531</v>
      </c>
      <c r="C103" s="28">
        <v>224128</v>
      </c>
      <c r="D103" s="28">
        <v>137721</v>
      </c>
      <c r="E103" s="29">
        <f>+D103/C103*100</f>
        <v>61.447476442033121</v>
      </c>
      <c r="F103" s="28">
        <v>132794</v>
      </c>
      <c r="G103" s="28">
        <v>6640</v>
      </c>
      <c r="H103" s="28">
        <v>168</v>
      </c>
      <c r="I103" s="28">
        <v>345</v>
      </c>
      <c r="J103" s="28">
        <v>2523</v>
      </c>
      <c r="K103" s="28">
        <v>681.99999999999943</v>
      </c>
      <c r="L103" s="28">
        <v>55214</v>
      </c>
      <c r="M103" s="28">
        <v>41733</v>
      </c>
      <c r="N103" s="28">
        <v>23221</v>
      </c>
      <c r="O103" s="28">
        <v>2268</v>
      </c>
      <c r="P103" s="28">
        <v>4045</v>
      </c>
      <c r="Q103" s="28">
        <v>882</v>
      </c>
      <c r="R103" s="28">
        <v>86407</v>
      </c>
      <c r="S103" s="30">
        <f>+R103/C103*100</f>
        <v>38.552523557966879</v>
      </c>
    </row>
    <row r="104" spans="1:19" s="32" customFormat="1" ht="15" customHeight="1" x14ac:dyDescent="0.25">
      <c r="A104" s="23"/>
      <c r="B104" s="24"/>
      <c r="C104" s="24"/>
      <c r="D104" s="24"/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6"/>
    </row>
    <row r="105" spans="1:19" ht="15" customHeight="1" x14ac:dyDescent="0.2">
      <c r="A105" s="41" t="s">
        <v>38</v>
      </c>
      <c r="B105" s="24">
        <v>142</v>
      </c>
      <c r="C105" s="24">
        <v>61180</v>
      </c>
      <c r="D105" s="24">
        <v>35348</v>
      </c>
      <c r="E105" s="25">
        <f t="shared" ref="E105:E110" si="13">+D105/C105*100</f>
        <v>57.777051323962084</v>
      </c>
      <c r="F105" s="24">
        <v>34179</v>
      </c>
      <c r="G105" s="24">
        <v>1838</v>
      </c>
      <c r="H105" s="24">
        <v>58</v>
      </c>
      <c r="I105" s="24">
        <v>80</v>
      </c>
      <c r="J105" s="24">
        <v>520</v>
      </c>
      <c r="K105" s="24">
        <v>125</v>
      </c>
      <c r="L105" s="24">
        <v>14045</v>
      </c>
      <c r="M105" s="24">
        <v>9908</v>
      </c>
      <c r="N105" s="24">
        <v>6889</v>
      </c>
      <c r="O105" s="24">
        <v>716</v>
      </c>
      <c r="P105" s="24">
        <v>932</v>
      </c>
      <c r="Q105" s="24">
        <v>237</v>
      </c>
      <c r="R105" s="24">
        <v>25832</v>
      </c>
      <c r="S105" s="26">
        <f t="shared" ref="S105:S110" si="14">+R105/C105*100</f>
        <v>42.222948676037916</v>
      </c>
    </row>
    <row r="106" spans="1:19" ht="15" customHeight="1" x14ac:dyDescent="0.2">
      <c r="A106" s="41" t="s">
        <v>71</v>
      </c>
      <c r="B106" s="24">
        <v>170</v>
      </c>
      <c r="C106" s="24">
        <v>73072</v>
      </c>
      <c r="D106" s="24">
        <v>47140</v>
      </c>
      <c r="E106" s="25">
        <f t="shared" si="13"/>
        <v>64.511714473396097</v>
      </c>
      <c r="F106" s="24">
        <v>45630</v>
      </c>
      <c r="G106" s="24">
        <v>1472</v>
      </c>
      <c r="H106" s="24">
        <v>50</v>
      </c>
      <c r="I106" s="24">
        <v>92.000000000000057</v>
      </c>
      <c r="J106" s="24">
        <v>820</v>
      </c>
      <c r="K106" s="24">
        <v>239</v>
      </c>
      <c r="L106" s="24">
        <v>17254</v>
      </c>
      <c r="M106" s="24">
        <v>16400</v>
      </c>
      <c r="N106" s="24">
        <v>8475</v>
      </c>
      <c r="O106" s="24">
        <v>828</v>
      </c>
      <c r="P106" s="24">
        <v>1291</v>
      </c>
      <c r="Q106" s="24">
        <v>219</v>
      </c>
      <c r="R106" s="24">
        <v>25932</v>
      </c>
      <c r="S106" s="26">
        <f t="shared" si="14"/>
        <v>35.488285526603896</v>
      </c>
    </row>
    <row r="107" spans="1:19" ht="15" customHeight="1" x14ac:dyDescent="0.2">
      <c r="A107" s="41" t="s">
        <v>40</v>
      </c>
      <c r="B107" s="24">
        <v>84</v>
      </c>
      <c r="C107" s="24">
        <v>33841</v>
      </c>
      <c r="D107" s="24">
        <v>20308</v>
      </c>
      <c r="E107" s="25">
        <f t="shared" si="13"/>
        <v>60.010046984427177</v>
      </c>
      <c r="F107" s="24">
        <v>19570</v>
      </c>
      <c r="G107" s="24">
        <v>1062</v>
      </c>
      <c r="H107" s="24">
        <v>16</v>
      </c>
      <c r="I107" s="24">
        <v>40</v>
      </c>
      <c r="J107" s="24">
        <v>379</v>
      </c>
      <c r="K107" s="24">
        <v>172</v>
      </c>
      <c r="L107" s="24">
        <v>9717</v>
      </c>
      <c r="M107" s="24">
        <v>5351</v>
      </c>
      <c r="N107" s="24">
        <v>2511</v>
      </c>
      <c r="O107" s="24">
        <v>322</v>
      </c>
      <c r="P107" s="24">
        <v>631</v>
      </c>
      <c r="Q107" s="24">
        <v>107</v>
      </c>
      <c r="R107" s="24">
        <v>13533</v>
      </c>
      <c r="S107" s="26">
        <f t="shared" si="14"/>
        <v>39.98995301557283</v>
      </c>
    </row>
    <row r="108" spans="1:19" ht="15" customHeight="1" x14ac:dyDescent="0.2">
      <c r="A108" s="41" t="s">
        <v>72</v>
      </c>
      <c r="B108" s="24">
        <v>38</v>
      </c>
      <c r="C108" s="24">
        <v>15029</v>
      </c>
      <c r="D108" s="24">
        <v>8900</v>
      </c>
      <c r="E108" s="25">
        <f t="shared" si="13"/>
        <v>59.218843569099747</v>
      </c>
      <c r="F108" s="24">
        <v>8492</v>
      </c>
      <c r="G108" s="24">
        <v>988</v>
      </c>
      <c r="H108" s="24">
        <v>14</v>
      </c>
      <c r="I108" s="24">
        <v>23</v>
      </c>
      <c r="J108" s="24">
        <v>125</v>
      </c>
      <c r="K108" s="24">
        <v>40</v>
      </c>
      <c r="L108" s="24">
        <v>3473</v>
      </c>
      <c r="M108" s="24">
        <v>1775</v>
      </c>
      <c r="N108" s="24">
        <v>1998</v>
      </c>
      <c r="O108" s="24">
        <v>56</v>
      </c>
      <c r="P108" s="24">
        <v>292</v>
      </c>
      <c r="Q108" s="24">
        <v>116</v>
      </c>
      <c r="R108" s="24">
        <v>6129</v>
      </c>
      <c r="S108" s="26">
        <f t="shared" si="14"/>
        <v>40.781156430900261</v>
      </c>
    </row>
    <row r="109" spans="1:19" ht="15" customHeight="1" x14ac:dyDescent="0.2">
      <c r="A109" s="41" t="s">
        <v>41</v>
      </c>
      <c r="B109" s="24">
        <v>44</v>
      </c>
      <c r="C109" s="24">
        <v>17995</v>
      </c>
      <c r="D109" s="24">
        <v>11559</v>
      </c>
      <c r="E109" s="25">
        <f t="shared" si="13"/>
        <v>64.234509585996108</v>
      </c>
      <c r="F109" s="24">
        <v>11028</v>
      </c>
      <c r="G109" s="24">
        <v>806</v>
      </c>
      <c r="H109" s="24">
        <v>14</v>
      </c>
      <c r="I109" s="24">
        <v>69</v>
      </c>
      <c r="J109" s="24">
        <v>457</v>
      </c>
      <c r="K109" s="24">
        <v>43</v>
      </c>
      <c r="L109" s="24">
        <v>4851</v>
      </c>
      <c r="M109" s="24">
        <v>3417</v>
      </c>
      <c r="N109" s="24">
        <v>1266</v>
      </c>
      <c r="O109" s="24">
        <v>105</v>
      </c>
      <c r="P109" s="24">
        <v>414</v>
      </c>
      <c r="Q109" s="24">
        <v>117</v>
      </c>
      <c r="R109" s="24">
        <v>6436</v>
      </c>
      <c r="S109" s="26">
        <f t="shared" si="14"/>
        <v>35.765490414003892</v>
      </c>
    </row>
    <row r="110" spans="1:19" ht="15" customHeight="1" x14ac:dyDescent="0.2">
      <c r="A110" s="41" t="s">
        <v>42</v>
      </c>
      <c r="B110" s="24">
        <v>53</v>
      </c>
      <c r="C110" s="24">
        <v>23011</v>
      </c>
      <c r="D110" s="24">
        <v>14466</v>
      </c>
      <c r="E110" s="25">
        <f t="shared" si="13"/>
        <v>62.865586024075441</v>
      </c>
      <c r="F110" s="24">
        <v>13895</v>
      </c>
      <c r="G110" s="24">
        <v>474</v>
      </c>
      <c r="H110" s="24">
        <v>16</v>
      </c>
      <c r="I110" s="24">
        <v>41</v>
      </c>
      <c r="J110" s="24">
        <v>222</v>
      </c>
      <c r="K110" s="24">
        <v>63</v>
      </c>
      <c r="L110" s="24">
        <v>5874</v>
      </c>
      <c r="M110" s="24">
        <v>4882</v>
      </c>
      <c r="N110" s="24">
        <v>2082</v>
      </c>
      <c r="O110" s="24">
        <v>241</v>
      </c>
      <c r="P110" s="24">
        <v>485</v>
      </c>
      <c r="Q110" s="24">
        <v>86</v>
      </c>
      <c r="R110" s="24">
        <v>8545</v>
      </c>
      <c r="S110" s="26">
        <f t="shared" si="14"/>
        <v>37.134413975924559</v>
      </c>
    </row>
    <row r="111" spans="1:19" ht="12" x14ac:dyDescent="0.2">
      <c r="A111" s="37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9"/>
    </row>
    <row r="112" spans="1:19" ht="12" x14ac:dyDescent="0.2">
      <c r="A112" s="18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7"/>
    </row>
  </sheetData>
  <mergeCells count="13">
    <mergeCell ref="A1:S1"/>
    <mergeCell ref="A4:A6"/>
    <mergeCell ref="F5:O5"/>
    <mergeCell ref="D4:Q4"/>
    <mergeCell ref="C4:C6"/>
    <mergeCell ref="B4:B6"/>
    <mergeCell ref="D5:D6"/>
    <mergeCell ref="E5:E6"/>
    <mergeCell ref="P5:P6"/>
    <mergeCell ref="Q5:Q6"/>
    <mergeCell ref="R4:S4"/>
    <mergeCell ref="R5:R6"/>
    <mergeCell ref="S5:S6"/>
  </mergeCells>
  <phoneticPr fontId="2" type="noConversion"/>
  <pageMargins left="0.39370078740157483" right="0.39370078740157483" top="0.39370078740157483" bottom="0.39370078740157483" header="0" footer="0"/>
  <pageSetup paperSize="149" scale="69" fitToHeight="100" orientation="landscape" horizontalDpi="300" verticalDpi="300" r:id="rId1"/>
  <headerFooter alignWithMargins="0"/>
  <rowBreaks count="1" manualBreakCount="1">
    <brk id="88" max="16383" man="1"/>
  </rowBreaks>
  <ignoredErrors>
    <ignoredError sqref="E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C1.2</vt:lpstr>
      <vt:lpstr>C1.2!Títulos_a_imprimir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Karina</dc:creator>
  <cp:lastModifiedBy>Karina</cp:lastModifiedBy>
  <cp:lastPrinted>2010-06-16T19:31:05Z</cp:lastPrinted>
  <dcterms:created xsi:type="dcterms:W3CDTF">2010-04-29T19:19:38Z</dcterms:created>
  <dcterms:modified xsi:type="dcterms:W3CDTF">2020-07-23T22:40:37Z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109caa52-d2fd-46b3-ab24-075776ce502a</vt:lpwstr>
  </property>
</Properties>
</file>