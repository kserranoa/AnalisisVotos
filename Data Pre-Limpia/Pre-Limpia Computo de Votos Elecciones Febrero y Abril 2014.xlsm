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ina\Documents\AnalisisVotos\Data Pre-Limpia\"/>
    </mc:Choice>
  </mc:AlternateContent>
  <xr:revisionPtr revIDLastSave="0" documentId="13_ncr:1_{C9AE03B4-4B89-4C4C-AB6B-FC908E3D4799}" xr6:coauthVersionLast="45" xr6:coauthVersionMax="45" xr10:uidLastSave="{00000000-0000-0000-0000-000000000000}"/>
  <bookViews>
    <workbookView xWindow="28680" yWindow="-15" windowWidth="29040" windowHeight="15840" tabRatio="933" firstSheet="1" activeTab="1" xr2:uid="{00000000-000D-0000-FFFF-FFFF00000000}"/>
  </bookViews>
  <sheets>
    <sheet name="MENUDATOS" sheetId="32" state="hidden" r:id="rId1"/>
    <sheet name="C1.2" sheetId="3" r:id="rId2"/>
  </sheets>
  <definedNames>
    <definedName name="_xlnm._FilterDatabase" localSheetId="1" hidden="1">'C1.2'!$A$3:$A$740</definedName>
    <definedName name="_xlnm._FilterDatabase" localSheetId="0" hidden="1">MENUDATOS!$A$1:$B$111</definedName>
    <definedName name="_xlnm.Print_Area" localSheetId="1">'C1.2'!$A$1:$W$101</definedName>
    <definedName name="_xlnm.Print_Titles" localSheetId="1">'C1.2'!$2:$7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9" i="3" l="1"/>
  <c r="T9" i="3"/>
  <c r="T8" i="3"/>
  <c r="U8" i="3"/>
  <c r="S9" i="3"/>
  <c r="S8" i="3" s="1"/>
  <c r="R9" i="3"/>
  <c r="Q9" i="3"/>
  <c r="Q8" i="3" s="1"/>
  <c r="P9" i="3"/>
  <c r="H9" i="3"/>
  <c r="I9" i="3"/>
  <c r="J9" i="3"/>
  <c r="W97" i="3"/>
  <c r="F97" i="3"/>
  <c r="D97" i="3" s="1"/>
  <c r="E97" i="3" s="1"/>
  <c r="W96" i="3"/>
  <c r="W95" i="3"/>
  <c r="W94" i="3"/>
  <c r="W93" i="3"/>
  <c r="W92" i="3"/>
  <c r="W91" i="3"/>
  <c r="F96" i="3"/>
  <c r="D96" i="3" s="1"/>
  <c r="E96" i="3" s="1"/>
  <c r="F95" i="3"/>
  <c r="D95" i="3" s="1"/>
  <c r="E95" i="3" s="1"/>
  <c r="F94" i="3"/>
  <c r="D94" i="3" s="1"/>
  <c r="E94" i="3" s="1"/>
  <c r="F93" i="3"/>
  <c r="D93" i="3" s="1"/>
  <c r="E93" i="3" s="1"/>
  <c r="F92" i="3"/>
  <c r="D92" i="3" s="1"/>
  <c r="E92" i="3" s="1"/>
  <c r="F91" i="3"/>
  <c r="D91" i="3" s="1"/>
  <c r="W90" i="3"/>
  <c r="W89" i="3"/>
  <c r="W88" i="3"/>
  <c r="W87" i="3"/>
  <c r="W86" i="3"/>
  <c r="W85" i="3"/>
  <c r="W84" i="3"/>
  <c r="W83" i="3"/>
  <c r="W82" i="3"/>
  <c r="W81" i="3"/>
  <c r="W80" i="3"/>
  <c r="W79" i="3"/>
  <c r="F89" i="3"/>
  <c r="D89" i="3" s="1"/>
  <c r="F88" i="3"/>
  <c r="D88" i="3" s="1"/>
  <c r="E88" i="3" s="1"/>
  <c r="F87" i="3"/>
  <c r="D87" i="3" s="1"/>
  <c r="E87" i="3" s="1"/>
  <c r="F86" i="3"/>
  <c r="D86" i="3" s="1"/>
  <c r="E86" i="3" s="1"/>
  <c r="F85" i="3"/>
  <c r="D85" i="3" s="1"/>
  <c r="E85" i="3" s="1"/>
  <c r="F84" i="3"/>
  <c r="D84" i="3" s="1"/>
  <c r="E84" i="3" s="1"/>
  <c r="F83" i="3"/>
  <c r="D83" i="3" s="1"/>
  <c r="E83" i="3" s="1"/>
  <c r="F82" i="3"/>
  <c r="D82" i="3" s="1"/>
  <c r="E82" i="3" s="1"/>
  <c r="F81" i="3"/>
  <c r="D81" i="3" s="1"/>
  <c r="E81" i="3" s="1"/>
  <c r="F80" i="3"/>
  <c r="D80" i="3" s="1"/>
  <c r="E80" i="3" s="1"/>
  <c r="F79" i="3"/>
  <c r="D79" i="3" s="1"/>
  <c r="E79" i="3" s="1"/>
  <c r="W78" i="3"/>
  <c r="W77" i="3"/>
  <c r="W76" i="3"/>
  <c r="W75" i="3"/>
  <c r="W74" i="3"/>
  <c r="W73" i="3"/>
  <c r="W72" i="3"/>
  <c r="W71" i="3"/>
  <c r="W70" i="3"/>
  <c r="W69" i="3"/>
  <c r="W68" i="3"/>
  <c r="W67" i="3"/>
  <c r="F77" i="3"/>
  <c r="D77" i="3" s="1"/>
  <c r="E77" i="3" s="1"/>
  <c r="F76" i="3"/>
  <c r="D76" i="3" s="1"/>
  <c r="E76" i="3" s="1"/>
  <c r="F75" i="3"/>
  <c r="D75" i="3" s="1"/>
  <c r="E75" i="3" s="1"/>
  <c r="F74" i="3"/>
  <c r="D74" i="3" s="1"/>
  <c r="E74" i="3" s="1"/>
  <c r="F73" i="3"/>
  <c r="D73" i="3" s="1"/>
  <c r="E73" i="3" s="1"/>
  <c r="F72" i="3"/>
  <c r="D72" i="3" s="1"/>
  <c r="E72" i="3" s="1"/>
  <c r="F71" i="3"/>
  <c r="D71" i="3" s="1"/>
  <c r="E71" i="3" s="1"/>
  <c r="F70" i="3"/>
  <c r="D70" i="3" s="1"/>
  <c r="E70" i="3" s="1"/>
  <c r="F69" i="3"/>
  <c r="D69" i="3" s="1"/>
  <c r="E69" i="3" s="1"/>
  <c r="F68" i="3"/>
  <c r="D68" i="3" s="1"/>
  <c r="E68" i="3" s="1"/>
  <c r="F67" i="3"/>
  <c r="D67" i="3" s="1"/>
  <c r="W66" i="3"/>
  <c r="W65" i="3"/>
  <c r="W64" i="3"/>
  <c r="W63" i="3"/>
  <c r="W62" i="3"/>
  <c r="W61" i="3"/>
  <c r="W60" i="3"/>
  <c r="W59" i="3"/>
  <c r="W58" i="3"/>
  <c r="W57" i="3"/>
  <c r="W56" i="3"/>
  <c r="F65" i="3"/>
  <c r="D65" i="3" s="1"/>
  <c r="F64" i="3"/>
  <c r="D64" i="3" s="1"/>
  <c r="E64" i="3" s="1"/>
  <c r="F63" i="3"/>
  <c r="D63" i="3" s="1"/>
  <c r="E63" i="3" s="1"/>
  <c r="F62" i="3"/>
  <c r="D62" i="3" s="1"/>
  <c r="E62" i="3" s="1"/>
  <c r="F61" i="3"/>
  <c r="D61" i="3" s="1"/>
  <c r="E61" i="3" s="1"/>
  <c r="F60" i="3"/>
  <c r="D60" i="3" s="1"/>
  <c r="E60" i="3" s="1"/>
  <c r="F59" i="3"/>
  <c r="D59" i="3" s="1"/>
  <c r="E59" i="3" s="1"/>
  <c r="F58" i="3"/>
  <c r="D58" i="3" s="1"/>
  <c r="E58" i="3" s="1"/>
  <c r="F57" i="3"/>
  <c r="D57" i="3" s="1"/>
  <c r="E57" i="3" s="1"/>
  <c r="F56" i="3"/>
  <c r="D56" i="3" s="1"/>
  <c r="E56" i="3" s="1"/>
  <c r="W54" i="3"/>
  <c r="W53" i="3"/>
  <c r="W52" i="3"/>
  <c r="W51" i="3"/>
  <c r="W50" i="3"/>
  <c r="W49" i="3"/>
  <c r="W48" i="3"/>
  <c r="W47" i="3"/>
  <c r="F54" i="3"/>
  <c r="D54" i="3" s="1"/>
  <c r="E54" i="3" s="1"/>
  <c r="F53" i="3"/>
  <c r="D53" i="3" s="1"/>
  <c r="E53" i="3" s="1"/>
  <c r="F52" i="3"/>
  <c r="D52" i="3" s="1"/>
  <c r="E52" i="3" s="1"/>
  <c r="F51" i="3"/>
  <c r="D51" i="3" s="1"/>
  <c r="E51" i="3" s="1"/>
  <c r="F50" i="3"/>
  <c r="D50" i="3" s="1"/>
  <c r="E50" i="3" s="1"/>
  <c r="F49" i="3"/>
  <c r="D49" i="3" s="1"/>
  <c r="E49" i="3" s="1"/>
  <c r="F48" i="3"/>
  <c r="D48" i="3" s="1"/>
  <c r="E48" i="3" s="1"/>
  <c r="F47" i="3"/>
  <c r="D47" i="3" s="1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F45" i="3"/>
  <c r="D45" i="3" s="1"/>
  <c r="F44" i="3"/>
  <c r="D44" i="3" s="1"/>
  <c r="E44" i="3" s="1"/>
  <c r="F43" i="3"/>
  <c r="D43" i="3" s="1"/>
  <c r="E43" i="3" s="1"/>
  <c r="F42" i="3"/>
  <c r="D42" i="3" s="1"/>
  <c r="E42" i="3" s="1"/>
  <c r="F41" i="3"/>
  <c r="D41" i="3" s="1"/>
  <c r="E41" i="3" s="1"/>
  <c r="F40" i="3"/>
  <c r="D40" i="3" s="1"/>
  <c r="E40" i="3" s="1"/>
  <c r="F39" i="3"/>
  <c r="D39" i="3" s="1"/>
  <c r="E39" i="3" s="1"/>
  <c r="F38" i="3"/>
  <c r="D38" i="3" s="1"/>
  <c r="E38" i="3" s="1"/>
  <c r="F37" i="3"/>
  <c r="D37" i="3" s="1"/>
  <c r="E37" i="3" s="1"/>
  <c r="F36" i="3"/>
  <c r="D36" i="3" s="1"/>
  <c r="E36" i="3" s="1"/>
  <c r="F35" i="3"/>
  <c r="D35" i="3" s="1"/>
  <c r="E35" i="3" s="1"/>
  <c r="F34" i="3"/>
  <c r="D34" i="3" s="1"/>
  <c r="E34" i="3" s="1"/>
  <c r="F33" i="3"/>
  <c r="D33" i="3" s="1"/>
  <c r="E33" i="3" s="1"/>
  <c r="F32" i="3"/>
  <c r="D32" i="3" s="1"/>
  <c r="E32" i="3" s="1"/>
  <c r="F31" i="3"/>
  <c r="W3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10" i="3"/>
  <c r="D10" i="3" s="1"/>
  <c r="E10" i="3" s="1"/>
  <c r="D11" i="3"/>
  <c r="E11" i="3" s="1"/>
  <c r="D12" i="3"/>
  <c r="E12" i="3" s="1"/>
  <c r="D13" i="3"/>
  <c r="E13" i="3" s="1"/>
  <c r="D14" i="3"/>
  <c r="E14" i="3" s="1"/>
  <c r="D15" i="3"/>
  <c r="E15" i="3" s="1"/>
  <c r="D16" i="3"/>
  <c r="E16" i="3" s="1"/>
  <c r="D17" i="3"/>
  <c r="E17" i="3" s="1"/>
  <c r="D18" i="3"/>
  <c r="E18" i="3" s="1"/>
  <c r="D19" i="3"/>
  <c r="E19" i="3" s="1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E27" i="3" s="1"/>
  <c r="D28" i="3"/>
  <c r="E28" i="3" s="1"/>
  <c r="D29" i="3"/>
  <c r="E29" i="3" s="1"/>
  <c r="V9" i="3"/>
  <c r="V8" i="3" s="1"/>
  <c r="O9" i="3"/>
  <c r="N9" i="3"/>
  <c r="M9" i="3"/>
  <c r="L9" i="3"/>
  <c r="K9" i="3"/>
  <c r="G9" i="3"/>
  <c r="C9" i="3"/>
  <c r="C8" i="3" s="1"/>
  <c r="B9" i="3"/>
  <c r="B8" i="3" s="1"/>
  <c r="F90" i="3" l="1"/>
  <c r="P8" i="3"/>
  <c r="R8" i="3"/>
  <c r="M8" i="3"/>
  <c r="F66" i="3"/>
  <c r="I8" i="3"/>
  <c r="W55" i="3"/>
  <c r="J8" i="3"/>
  <c r="H8" i="3"/>
  <c r="F30" i="3"/>
  <c r="F55" i="3"/>
  <c r="F9" i="3"/>
  <c r="K8" i="3"/>
  <c r="O8" i="3"/>
  <c r="D9" i="3"/>
  <c r="G8" i="3"/>
  <c r="L8" i="3"/>
  <c r="N8" i="3"/>
  <c r="D31" i="3"/>
  <c r="E31" i="3" s="1"/>
  <c r="F46" i="3"/>
  <c r="F78" i="3"/>
  <c r="E45" i="3"/>
  <c r="D46" i="3"/>
  <c r="E46" i="3" s="1"/>
  <c r="E47" i="3"/>
  <c r="E65" i="3"/>
  <c r="D55" i="3"/>
  <c r="E55" i="3" s="1"/>
  <c r="D90" i="3"/>
  <c r="E90" i="3" s="1"/>
  <c r="E91" i="3"/>
  <c r="D66" i="3"/>
  <c r="E66" i="3" s="1"/>
  <c r="E67" i="3"/>
  <c r="D78" i="3"/>
  <c r="E78" i="3" s="1"/>
  <c r="E89" i="3"/>
  <c r="W9" i="3"/>
  <c r="W8" i="3"/>
  <c r="E9" i="3" l="1"/>
  <c r="D30" i="3"/>
  <c r="D8" i="3" s="1"/>
  <c r="F8" i="3"/>
  <c r="E30" i="3" l="1"/>
  <c r="E8" i="3"/>
</calcChain>
</file>

<file path=xl/sharedStrings.xml><?xml version="1.0" encoding="utf-8"?>
<sst xmlns="http://schemas.openxmlformats.org/spreadsheetml/2006/main" count="403" uniqueCount="364">
  <si>
    <t>VOTOS RECIBIDOS</t>
  </si>
  <si>
    <t>VOTOS VÁLIDOS</t>
  </si>
  <si>
    <t>ABSTENCIONISMO</t>
  </si>
  <si>
    <t>SAN JOSÉ</t>
  </si>
  <si>
    <t>ESCAZÚ</t>
  </si>
  <si>
    <t>SAN RAFAEL</t>
  </si>
  <si>
    <t>DESAMPARADOS</t>
  </si>
  <si>
    <t>ASERRÍ</t>
  </si>
  <si>
    <t>SANTA ANA</t>
  </si>
  <si>
    <t>SAN ISIDRO</t>
  </si>
  <si>
    <t>SAN PABLO</t>
  </si>
  <si>
    <t>SANTA CRUZ</t>
  </si>
  <si>
    <t>ALAJUELA</t>
  </si>
  <si>
    <t>SAN RAMÓN</t>
  </si>
  <si>
    <t>GRECIA</t>
  </si>
  <si>
    <t>SAN MATEO</t>
  </si>
  <si>
    <t>ATENAS</t>
  </si>
  <si>
    <t>NARANJO</t>
  </si>
  <si>
    <t>PALMARES</t>
  </si>
  <si>
    <t>BUENOS AIRES</t>
  </si>
  <si>
    <t>OROTINA</t>
  </si>
  <si>
    <t>CARTAGO</t>
  </si>
  <si>
    <t>PARAÍSO</t>
  </si>
  <si>
    <t>TURRIALBA</t>
  </si>
  <si>
    <t>HEREDIA</t>
  </si>
  <si>
    <t>BARVA</t>
  </si>
  <si>
    <t>SANTO DOMINGO</t>
  </si>
  <si>
    <t>SANTA BÁRBARA</t>
  </si>
  <si>
    <t>LIBERIA</t>
  </si>
  <si>
    <t>NICOYA</t>
  </si>
  <si>
    <t>BAGACES</t>
  </si>
  <si>
    <t>BELÉN</t>
  </si>
  <si>
    <t>CAÑAS</t>
  </si>
  <si>
    <t>TILARÁN</t>
  </si>
  <si>
    <t>PUNTARENAS</t>
  </si>
  <si>
    <t>LA UNIÓN</t>
  </si>
  <si>
    <t>GOLFITO</t>
  </si>
  <si>
    <t>PARRITA</t>
  </si>
  <si>
    <t>LIMÓN</t>
  </si>
  <si>
    <t>JIMÉNEZ</t>
  </si>
  <si>
    <t>SIQUIRRES</t>
  </si>
  <si>
    <t>MATINA</t>
  </si>
  <si>
    <t>GUÁCIMO</t>
  </si>
  <si>
    <t>PROVINCIA ALAJUELA</t>
  </si>
  <si>
    <t>PROVINCIA CARTAGO</t>
  </si>
  <si>
    <t>PROVINCIA HEREDIA</t>
  </si>
  <si>
    <t>PROVINCIA SAN JOSÉ</t>
  </si>
  <si>
    <t>PROVINCIA PUNTARENAS</t>
  </si>
  <si>
    <t>PROVINCIA LIMÓN</t>
  </si>
  <si>
    <t>TOTAL</t>
  </si>
  <si>
    <t>TOTAL GENERAL</t>
  </si>
  <si>
    <t>ABSOLUTO</t>
  </si>
  <si>
    <t>%</t>
  </si>
  <si>
    <t>COSTA RICA</t>
  </si>
  <si>
    <t>PURISCAL</t>
  </si>
  <si>
    <t>TARRAZÚ</t>
  </si>
  <si>
    <t>MORA</t>
  </si>
  <si>
    <t>GOICOECHEA</t>
  </si>
  <si>
    <t>POÁS</t>
  </si>
  <si>
    <t>ALVARADO</t>
  </si>
  <si>
    <t>OREAMUNO</t>
  </si>
  <si>
    <t>EL GUARCO</t>
  </si>
  <si>
    <t>FLORES</t>
  </si>
  <si>
    <t>CARRILLO</t>
  </si>
  <si>
    <t>ABANGARES</t>
  </si>
  <si>
    <t>NANDAYURE</t>
  </si>
  <si>
    <t>ESPARZA</t>
  </si>
  <si>
    <t>MONTES DE ORO</t>
  </si>
  <si>
    <t>OSA</t>
  </si>
  <si>
    <t>AGUIRRE</t>
  </si>
  <si>
    <t>COTO BRUS</t>
  </si>
  <si>
    <t>POCOCÍ</t>
  </si>
  <si>
    <t>TALAMANCA</t>
  </si>
  <si>
    <t>JUNTAS</t>
  </si>
  <si>
    <t>INTEGRACIÓN NACIONAL</t>
  </si>
  <si>
    <t>FRENTE AMPLIO</t>
  </si>
  <si>
    <t>NULOS</t>
  </si>
  <si>
    <t>UNIDAD SOCIAL CRISTIANA</t>
  </si>
  <si>
    <t>RENOVACIÓN COSTARRICENSE</t>
  </si>
  <si>
    <t>LIBERACIÓN NACIONAL</t>
  </si>
  <si>
    <t>MOVIMIENTO LIBERTARIO</t>
  </si>
  <si>
    <t>ACCESIBILIDAD SIN EXCLUSIÓN</t>
  </si>
  <si>
    <t>BLANCOS</t>
  </si>
  <si>
    <t>PROVINCIA  GUANACASTE</t>
  </si>
  <si>
    <t>SARAPIQUÍ</t>
  </si>
  <si>
    <t>ELECTORADO</t>
  </si>
  <si>
    <t>%
PARTICIPACIÓN</t>
  </si>
  <si>
    <t>SAN CARLOS</t>
  </si>
  <si>
    <t>VALVERDE VEGA</t>
  </si>
  <si>
    <t>UPALA</t>
  </si>
  <si>
    <t>LOS CHILES</t>
  </si>
  <si>
    <t>GUATUSO</t>
  </si>
  <si>
    <t>VÁZQUEZ DE CORONADO</t>
  </si>
  <si>
    <t>ACOSTA</t>
  </si>
  <si>
    <t>TIBÁS</t>
  </si>
  <si>
    <t>MORAVIA</t>
  </si>
  <si>
    <t>MONTES DE OCA</t>
  </si>
  <si>
    <t>TURRUBARES</t>
  </si>
  <si>
    <t>DOTA</t>
  </si>
  <si>
    <t>CURRIDABAT</t>
  </si>
  <si>
    <t>PÉREZ ZELEDÓN</t>
  </si>
  <si>
    <t>LEÓN CORTÉS</t>
  </si>
  <si>
    <t>LA CRUZ</t>
  </si>
  <si>
    <t>HOJANCHA</t>
  </si>
  <si>
    <t>CORREDORES</t>
  </si>
  <si>
    <t>GARABITO</t>
  </si>
  <si>
    <t>ALAJUELITA</t>
  </si>
  <si>
    <t>AVANCE NACIONAL</t>
  </si>
  <si>
    <t>DE LOS TRABAJADORES</t>
  </si>
  <si>
    <t>NUEVA GENERACIÓN</t>
  </si>
  <si>
    <t>PATRIA NUEVA</t>
  </si>
  <si>
    <t>RESTAURACIÓN NACIONAL</t>
  </si>
  <si>
    <t>EXTRANJERO</t>
  </si>
  <si>
    <t>PROVINCIA, CANTÓN Y EXTRANJERO</t>
  </si>
  <si>
    <t>CUADRO 1.2 COSTA RICA: JUNTAS, ELECTORADO, PARTICIPACIÓN, VOTOS POR PARTIDO, NULOS, BLANCOS Y ABSTENCIONISMO, PARA PRESIDENCIA
Y VICEPRESIDENCIAS DE LA REPÚBLICA, SEGÚN  PROVINCIA, CANTÓN Y EXTRANJERO
 ELECCIONES 2 DE FEBRERO 2014</t>
  </si>
  <si>
    <t>ACCIÓN CIUDADANA</t>
  </si>
  <si>
    <t>ZARCERO</t>
  </si>
  <si>
    <t xml:space="preserve">Cuadro 1.1 </t>
  </si>
  <si>
    <t xml:space="preserve">Cuadro 1.2 </t>
  </si>
  <si>
    <t>---- CERRAR ----</t>
  </si>
  <si>
    <t>CERRAR</t>
  </si>
  <si>
    <t/>
  </si>
  <si>
    <t xml:space="preserve">Cuadro 2.1 </t>
  </si>
  <si>
    <t xml:space="preserve">Cuadro 2.2 </t>
  </si>
  <si>
    <t xml:space="preserve">Cuadro 2.3 </t>
  </si>
  <si>
    <t xml:space="preserve">Cuadro 2.4 </t>
  </si>
  <si>
    <t xml:space="preserve">Cuadro 2.5 </t>
  </si>
  <si>
    <t xml:space="preserve">Cuadro 2.6 </t>
  </si>
  <si>
    <t xml:space="preserve">Cuadro 2.7 </t>
  </si>
  <si>
    <t xml:space="preserve">Cuadro 2.8 </t>
  </si>
  <si>
    <t xml:space="preserve"> ---- CERRAR ---- </t>
  </si>
  <si>
    <t>Cuadro 1.3</t>
  </si>
  <si>
    <t>Cuadro 1.4</t>
  </si>
  <si>
    <t>Cuadro 1.5</t>
  </si>
  <si>
    <t>Cuadro 1.6</t>
  </si>
  <si>
    <t>Cuadro 1.7</t>
  </si>
  <si>
    <t>Cuadro 1.8</t>
  </si>
  <si>
    <t>Cuadro 1.9</t>
  </si>
  <si>
    <t>Cuadro 1.10</t>
  </si>
  <si>
    <t>C1.1</t>
  </si>
  <si>
    <t>C1.2</t>
  </si>
  <si>
    <t>C1.3</t>
  </si>
  <si>
    <t>C1.4</t>
  </si>
  <si>
    <t>C1.5</t>
  </si>
  <si>
    <t>C1.6</t>
  </si>
  <si>
    <t>C1.7</t>
  </si>
  <si>
    <t>C1.8</t>
  </si>
  <si>
    <t>C1.9</t>
  </si>
  <si>
    <t>C1.10</t>
  </si>
  <si>
    <t>C2.1</t>
  </si>
  <si>
    <t>C2.2</t>
  </si>
  <si>
    <t>C2.3</t>
  </si>
  <si>
    <t>C2.4</t>
  </si>
  <si>
    <t>C2.5</t>
  </si>
  <si>
    <t>C2.6</t>
  </si>
  <si>
    <t>C2.7</t>
  </si>
  <si>
    <t>C2.8</t>
  </si>
  <si>
    <t>C2.9</t>
  </si>
  <si>
    <t>COSTA RICA: POR  PARTIDO POLÍTICO SEGÚN PROVINCIA Y CANTÓN</t>
  </si>
  <si>
    <t>COSTA RICA: POR PROVINCIA, SEGÚN PARTIDO POLÍTICO</t>
  </si>
  <si>
    <t>SAN JOSÉ: POR PARTIDO POLÍTICO, SEGÚN CANTÓN Y DISTRITO ADMINISTRATIVO</t>
  </si>
  <si>
    <t>ALAJUELA: POR PARTIDO POLÍTICO, SEGÚN CANTÓN Y DISTRITO ADMINISTRATIVO</t>
  </si>
  <si>
    <t>CARTAGO: POR PARTIDO POLÍTICO, SEGÚN CANTÓN Y DISTRITO ADMINISTRATIVO</t>
  </si>
  <si>
    <t>HEREDIA: POR PARTIDO POLÍTICO, SEGÚN CANTÓN Y DISTRITO ADMINISTRATIVO</t>
  </si>
  <si>
    <t>GUANACASTE: POR PARTIDO POLÍTICO, SEGÚN CANTÓN Y DISTRITO ADMINISTRATIVO</t>
  </si>
  <si>
    <t>PUNTARENAS: POR PARTIDO POLÍTICO, SEGÚN CANTÓN Y DISTRITO ADMINISTRATIVO</t>
  </si>
  <si>
    <t>LIMÓN: POR PARTIDO POLÍTICO, SEGÚN CANTÓN Y DISTRITO ADMINISTRATIVO</t>
  </si>
  <si>
    <t>Cuadro 2.9</t>
  </si>
  <si>
    <t>FUENTE: Tribunal Supremo de Elecciones.</t>
  </si>
  <si>
    <t>COSTA RICA: POR  PARTIDO POLÍTICO SEGÚN PROVINCIA, CANTÓN Y EXTRANJERO</t>
  </si>
  <si>
    <t>Cuadro 1.11</t>
  </si>
  <si>
    <t>Cuadro 1.12</t>
  </si>
  <si>
    <t>Cuadro 1.13</t>
  </si>
  <si>
    <t>Cuadro 1.14</t>
  </si>
  <si>
    <t>Cuadro 1.15</t>
  </si>
  <si>
    <t>Cuadro 1.16</t>
  </si>
  <si>
    <t>Cuadro 1.17</t>
  </si>
  <si>
    <t>C1.11</t>
  </si>
  <si>
    <t>C1.12</t>
  </si>
  <si>
    <t>C1.13</t>
  </si>
  <si>
    <t>C1.14</t>
  </si>
  <si>
    <t>C1.15</t>
  </si>
  <si>
    <t>C1.16</t>
  </si>
  <si>
    <t>C1.17</t>
  </si>
  <si>
    <t>SAN JOSÉ: POR PARTIDO POLÍTICO, SEGÚN DISTRITO ADMINISTRATIVO</t>
  </si>
  <si>
    <t>ALAJUELA: POR PARTIDO POLÍTICO, SEGÚN DISTRITO ADMINISTRATIVO</t>
  </si>
  <si>
    <t>CARTAGO: POR PARTIDO POLÍTICO, SEGÚN DISTRITO ADMINISTRATIVO</t>
  </si>
  <si>
    <t>HEREDIA: POR PARTIDO POLÍTICO, SEGÚN DISTRITO ADMINISTRATIVO</t>
  </si>
  <si>
    <t>GUANACASTE: POR PARTIDO POLÍTICO, SEGÚN DISTRITO ADMINISTRATIVO</t>
  </si>
  <si>
    <t>PUNTARENAS: POR PARTIDO POLÍTICO, SEGÚN DISTRITO ADMINISTRATIVO</t>
  </si>
  <si>
    <t>LIMÓN: POR PARTIDO POLÍTICO, SEGÚN DISTRITO ADMINISTRATIVO</t>
  </si>
  <si>
    <t>VOTO EN EL EXTRANJERO: POR PARTIDO POLÍTICO, SEGÚN CONTINENTE Y PAÍS</t>
  </si>
  <si>
    <t>SAN JOSÉ: POR PARTIDO POLÍTICO, SEGÚN DISTRITO ELECTORAL</t>
  </si>
  <si>
    <t>ALAJUELA: POR PARTIDO POLÍTICO, SEGÚN  DISTRITO ELECTORAL</t>
  </si>
  <si>
    <t>CARTAGO: POR PARTIDO POLÍTICO, SEGÚN DISTRITO ELECTORAL</t>
  </si>
  <si>
    <t>HEREDIA: POR PARTIDO POLÍTICO, SEGÚN DISTRITO ELECTORAL</t>
  </si>
  <si>
    <t>GUANACASTE: POR PARTIDO POLÍTICO, SEGÚN  DISTRITO ELECTORAL</t>
  </si>
  <si>
    <t>PUNTARENAS: POR PARTIDO POLÍTICO, SEGÚN DISTRITO ELECTORAL</t>
  </si>
  <si>
    <t>LIMÓN: POR PARTIDO POLÍTICO, SEGÚN DISTRITO ELECTORAL</t>
  </si>
  <si>
    <t>Cuadro 2.10</t>
  </si>
  <si>
    <t>Cuadro 2.11</t>
  </si>
  <si>
    <t>Cuadro 2.12</t>
  </si>
  <si>
    <t>Cuadro 2.13</t>
  </si>
  <si>
    <t>Cuadro 2.14</t>
  </si>
  <si>
    <t>Cuadro 2.15</t>
  </si>
  <si>
    <t>Cuadro 2.16</t>
  </si>
  <si>
    <t>C2.10</t>
  </si>
  <si>
    <t>C2.11</t>
  </si>
  <si>
    <t>C2.12</t>
  </si>
  <si>
    <t>C2.13</t>
  </si>
  <si>
    <t>C2.14</t>
  </si>
  <si>
    <t>C2.15</t>
  </si>
  <si>
    <t>C2.16</t>
  </si>
  <si>
    <t>PRESIDENCIA</t>
  </si>
  <si>
    <t>DIPUTACIONES</t>
  </si>
  <si>
    <t>CANDIDATURAS</t>
  </si>
  <si>
    <t xml:space="preserve">Cuadro 3.1 </t>
  </si>
  <si>
    <t>C3.1</t>
  </si>
  <si>
    <t xml:space="preserve">Cuadro 3.2 </t>
  </si>
  <si>
    <t>C3.2</t>
  </si>
  <si>
    <t>C3.3</t>
  </si>
  <si>
    <t>C3.4</t>
  </si>
  <si>
    <t>C3.5</t>
  </si>
  <si>
    <t>C3.6</t>
  </si>
  <si>
    <t>C3.7</t>
  </si>
  <si>
    <t>C3.8</t>
  </si>
  <si>
    <t>Cuadro 3.9</t>
  </si>
  <si>
    <t>C3.9</t>
  </si>
  <si>
    <t>Cuadro 3.10</t>
  </si>
  <si>
    <t>C3.10</t>
  </si>
  <si>
    <t>Cuadro 3.11</t>
  </si>
  <si>
    <t>C3.11</t>
  </si>
  <si>
    <t>Cuadro 3.12</t>
  </si>
  <si>
    <t>C3.12</t>
  </si>
  <si>
    <t>Cuadro 3.13</t>
  </si>
  <si>
    <t>C3.13</t>
  </si>
  <si>
    <t>Cuadro 3.14</t>
  </si>
  <si>
    <t>C3.14</t>
  </si>
  <si>
    <t>Cuadro 3.15</t>
  </si>
  <si>
    <t>C3.15</t>
  </si>
  <si>
    <t>Cuadro 3.16</t>
  </si>
  <si>
    <t>C3.16</t>
  </si>
  <si>
    <t>Cuadro 3.3</t>
  </si>
  <si>
    <t>Cuadro 3.4</t>
  </si>
  <si>
    <t>Cuadro 3.5</t>
  </si>
  <si>
    <t>Cuadro 3.6</t>
  </si>
  <si>
    <t>Cuadro 3.7</t>
  </si>
  <si>
    <t>Cuadro 3.8</t>
  </si>
  <si>
    <t>Cuadro 3.17</t>
  </si>
  <si>
    <t>C3.17</t>
  </si>
  <si>
    <t xml:space="preserve">Cuadro 4.1 </t>
  </si>
  <si>
    <t>C4.1</t>
  </si>
  <si>
    <t xml:space="preserve">Cuadro 4.2 </t>
  </si>
  <si>
    <t>C4.2</t>
  </si>
  <si>
    <t>Cuadro 4.3</t>
  </si>
  <si>
    <t>C4.3</t>
  </si>
  <si>
    <t>Cuadro 4.4</t>
  </si>
  <si>
    <t>C4.4</t>
  </si>
  <si>
    <t>Cuadro 4.5</t>
  </si>
  <si>
    <t>C4.5</t>
  </si>
  <si>
    <t>Cuadro 4.6</t>
  </si>
  <si>
    <t>C4.6</t>
  </si>
  <si>
    <t>Cuadro 4.7</t>
  </si>
  <si>
    <t>C4.7</t>
  </si>
  <si>
    <t>Cuadro 4.8</t>
  </si>
  <si>
    <t>C4.8</t>
  </si>
  <si>
    <t>Cuadro 4.9</t>
  </si>
  <si>
    <t>C4.9</t>
  </si>
  <si>
    <t>Cuadro 4.10</t>
  </si>
  <si>
    <t>C4.10</t>
  </si>
  <si>
    <t>Cuadro 4.11</t>
  </si>
  <si>
    <t>C4.11</t>
  </si>
  <si>
    <t>Cuadro 4.12</t>
  </si>
  <si>
    <t>C4.12</t>
  </si>
  <si>
    <t xml:space="preserve">Cuadro 5.1 </t>
  </si>
  <si>
    <t>C5.1</t>
  </si>
  <si>
    <t xml:space="preserve">Cuadro 5.2 </t>
  </si>
  <si>
    <t>C5.2</t>
  </si>
  <si>
    <t>Cuadro 5.3</t>
  </si>
  <si>
    <t>C5.3</t>
  </si>
  <si>
    <t>Cuadro 5.4</t>
  </si>
  <si>
    <t>C5.4</t>
  </si>
  <si>
    <t>Cuadro 5.5</t>
  </si>
  <si>
    <t>C5.5</t>
  </si>
  <si>
    <t>Cuadro 5.6</t>
  </si>
  <si>
    <t>C5.6</t>
  </si>
  <si>
    <t>C6.1</t>
  </si>
  <si>
    <t>C6.2</t>
  </si>
  <si>
    <t>Cuadro 6.3</t>
  </si>
  <si>
    <t>C6.3</t>
  </si>
  <si>
    <t>Cuadro 6.4</t>
  </si>
  <si>
    <t>C6.4</t>
  </si>
  <si>
    <t>Cuadro 6.5</t>
  </si>
  <si>
    <t>C6.5</t>
  </si>
  <si>
    <t>Gráfico 1.1</t>
  </si>
  <si>
    <t>Mapa 1.1</t>
  </si>
  <si>
    <t>Mapa 1.3</t>
  </si>
  <si>
    <t>Mapa 1.2</t>
  </si>
  <si>
    <t>GRÁFICO COSTA RICA: VOTOS SEGÚN PARTIDO POLÍTICO</t>
  </si>
  <si>
    <t>MAPA PARTIDO GANADOR POR DISTRITO</t>
  </si>
  <si>
    <t>MAPA PARTICIPACIÓN RELATIVA POR DISTRITO</t>
  </si>
  <si>
    <t>MAPA ABSTENCIONISMO RELATIVO POR DISTRITO</t>
  </si>
  <si>
    <t>G1.1</t>
  </si>
  <si>
    <t>M1.1</t>
  </si>
  <si>
    <t>M1.2</t>
  </si>
  <si>
    <t>M1.3</t>
  </si>
  <si>
    <t>II RONDA</t>
  </si>
  <si>
    <t>Gráfico 3.1</t>
  </si>
  <si>
    <t>G3.1</t>
  </si>
  <si>
    <t>Gráfico 3.2</t>
  </si>
  <si>
    <t>GRÁFICO COSTA RICA: VOTOS SEGÚN PROVINCIA</t>
  </si>
  <si>
    <t>G3.2</t>
  </si>
  <si>
    <t>COSTA RICA: CANDIDATURAS PRESIDENCIA Y VICEPRESIDENCIAS POR SEXO SEGÚN GRUPOS DE EDAD</t>
  </si>
  <si>
    <t>COSTA RICA: CANDIDATURAS A DIPUTACIONES POR SEXO SEGÚN GRUPOS DE EDAD</t>
  </si>
  <si>
    <t>Gráfico 4.1</t>
  </si>
  <si>
    <t>GRÁFICO  CANDIDATURAS A DIPUTACIONES POR SEXO Y GRUPOS DE EDAD</t>
  </si>
  <si>
    <t>EDAD PROMEDIO DE CANDIDATOS INCRITOS A DIPUTACIONES</t>
  </si>
  <si>
    <t>CANDIDATURAS A DIPUTACIONES 2006, 2010 Y 2014 SEGÚN PROVINCIA</t>
  </si>
  <si>
    <t>CANDIDATURAS POR SEXO , SEGÚN PUESTO</t>
  </si>
  <si>
    <t>G4.1</t>
  </si>
  <si>
    <t>G4.2</t>
  </si>
  <si>
    <t>GRÁFICO  TIPOS DE CANDIDATURAS POR SEXO</t>
  </si>
  <si>
    <t>CANDIDATURAS A DIPUTACIONES EN PROPIEDAD Y SUPLENCIA POR SEXO SEGÚN PARTIDO</t>
  </si>
  <si>
    <t>CANDIDATURAS A DIPUTACIONES EN PROPIEDAD Y SUPLENCIA POR SEXO SEGÚN PROVINCIA</t>
  </si>
  <si>
    <t>DIPUTADOS/AS ELECTOS/AS POR PROVINCIA SEGÚN PARTIDO</t>
  </si>
  <si>
    <t>Gráfico 4.2</t>
  </si>
  <si>
    <t>Gráfico 4.3</t>
  </si>
  <si>
    <t>Mapa 3.1</t>
  </si>
  <si>
    <t>M3.1</t>
  </si>
  <si>
    <t>Mapa 4.1</t>
  </si>
  <si>
    <t>M4.1</t>
  </si>
  <si>
    <t>MAPA DE INTENSIDAD DEL GANE POR DISTRITO</t>
  </si>
  <si>
    <t>MAPA ESCAÑOS GANADOS DE DIPUTACIONES POR PARTIDO</t>
  </si>
  <si>
    <t>MAPA ESCAÑOS GANADOS DE DIPUTACIONES POR SEXO</t>
  </si>
  <si>
    <t>Mapa 4.2</t>
  </si>
  <si>
    <t>M4.2</t>
  </si>
  <si>
    <t>DIPUTADOS/AS ELECTOS/AS Y EDAD PROMEDIO POR SEXO SEGÚN PARTIDO</t>
  </si>
  <si>
    <t>EDAD PROMEDIO DIPUTADOS/AS ELECTOS/AS,  POR PROVINCIA SEGÚN PARTIDO</t>
  </si>
  <si>
    <t>DIPUTADOS/AS ELECTOS/AS POR GRUPO DE EDAD SEGÚN PARTIDO</t>
  </si>
  <si>
    <t>DIPUTADOS/AS ELECTOS/AS POR SEXO SEGÚN GRUPO DE EDAD</t>
  </si>
  <si>
    <t>Gráfico 4.4</t>
  </si>
  <si>
    <t>G4.4</t>
  </si>
  <si>
    <t>DISTRIBUCIÓN DE FRECUENCIAS DE DIPUTACIONES SEGÚN GRUPO DE EDAD</t>
  </si>
  <si>
    <t>LISTA DE DIPUTADOS/AS ELECTOS/AS POR PROVINCIA Y PARTIDO</t>
  </si>
  <si>
    <t>PRESIDENCIA Y VICEPRESIDENCIAS ELECTAS</t>
  </si>
  <si>
    <t>Cuadro 6.1</t>
  </si>
  <si>
    <t>Cuadro 6.2</t>
  </si>
  <si>
    <t>INDICADOR 1 POR PROVINCIA SEGÚN PARTIDO</t>
  </si>
  <si>
    <t>INDICADOR 1 POR PARTIDO SEGÚN PROVINCIA Y CANTÓN</t>
  </si>
  <si>
    <t>INDICADOR 2 POR PROVINCIA SEGÚN PARTIDO</t>
  </si>
  <si>
    <t>INDICADOR 2 POR PARTIDO SEGÚN PROVINCIA Y CANTÓN</t>
  </si>
  <si>
    <t>Mapa 6.1</t>
  </si>
  <si>
    <t>MAPA DE QUIEBRE DEL VOTO INDICADOR 2</t>
  </si>
  <si>
    <t>M6.1</t>
  </si>
  <si>
    <t>RESULTADOS PRESIDENCIA CENTROS PENITENCIARIOS POR PARTIDO POLÍTICO</t>
  </si>
  <si>
    <t>RESULTADOS PRESIDENCIA: HOGARES DE ANCIANOS POR PARTIDO POLÍTICO</t>
  </si>
  <si>
    <t>RESULTADOS PRESIDENCIA: ZONAS INDÍGENAS POR PARTIDO POLÍTICO</t>
  </si>
  <si>
    <t>RESULTADOS DIPUTACIONES: CENTROS PENITENCIARIOS POR PARTIDO POLÍTICO</t>
  </si>
  <si>
    <t>RESULTADOS DIPUTACIONES: HOGARES DE ANCIANOS POR PARTIDO POLÍTICO</t>
  </si>
  <si>
    <t>RESULTADOS DIPUTACIONES: ZONAS INDÍGENAS POR PARTIDO POLÍTICO</t>
  </si>
  <si>
    <t>RESULTADOS EN ZONAS ESPECIALES</t>
  </si>
  <si>
    <t>QUIEBRE DEL VOTO</t>
  </si>
  <si>
    <t>INDICADOR 2 POR PARTIDO SEGÚN PROVINCIA, CANTÓN Y DISTRITO</t>
  </si>
  <si>
    <t>G4.3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</si>
</sst>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#,##0.0"/>
    <numFmt numFmtId="165" formatCode="_-[$€-2]* #,##0.00_-;\-[$€-2]* #,##0.00_-;_-[$€-2]* &quot;-&quot;??_-"/>
    <numFmt numFmtId="167" formatCode="_(* #,##0_);_(* \(#,##0\);_(* &quot;-&quot;??_);_(@_)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sz val="9"/>
      <name val="Tahoma"/>
      <family val="2"/>
    </font>
    <font>
      <b/>
      <sz val="11"/>
      <color rgb="FFFF0000"/>
      <name val="Arial"/>
      <family val="2"/>
    </font>
    <font>
      <u/>
      <sz val="12.5"/>
      <color indexed="12"/>
      <name val="Arial"/>
      <family val="2"/>
    </font>
    <font>
      <sz val="10"/>
      <name val="MS Sans Serif"/>
      <family val="2"/>
    </font>
    <font>
      <b/>
      <sz val="10"/>
      <color rgb="FFFF0000"/>
      <name val="Arial"/>
      <family val="2"/>
    </font>
    <font>
      <sz val="12"/>
      <color rgb="FFFF0000"/>
      <name val="Arial"/>
      <family val="2"/>
    </font>
    <font>
      <sz val="14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165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" fillId="0" borderId="0"/>
    <xf numFmtId="0" fontId="2" fillId="0" borderId="0"/>
    <xf numFmtId="0" fontId="2" fillId="0" borderId="0"/>
    <xf numFmtId="0" fontId="17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8" fillId="0" borderId="0"/>
  </cellStyleXfs>
  <cellXfs count="58">
    <xf numFmtId="0" fontId="0" fillId="0" borderId="0" xfId="0"/>
    <xf numFmtId="0" fontId="2" fillId="0" borderId="0" xfId="4" applyFont="1"/>
    <xf numFmtId="0" fontId="2" fillId="0" borderId="0" xfId="4"/>
    <xf numFmtId="0" fontId="0" fillId="2" borderId="0" xfId="0" applyFill="1"/>
    <xf numFmtId="0" fontId="15" fillId="2" borderId="0" xfId="0" applyFont="1" applyFill="1" applyBorder="1" applyAlignment="1">
      <alignment horizontal="left" vertical="center"/>
    </xf>
    <xf numFmtId="3" fontId="12" fillId="2" borderId="0" xfId="0" applyNumberFormat="1" applyFont="1" applyFill="1" applyBorder="1" applyAlignment="1">
      <alignment horizontal="right" vertical="center"/>
    </xf>
    <xf numFmtId="0" fontId="12" fillId="2" borderId="0" xfId="0" applyFont="1" applyFill="1" applyBorder="1" applyAlignment="1">
      <alignment horizontal="left" vertical="center" wrapText="1" indent="1"/>
    </xf>
    <xf numFmtId="0" fontId="9" fillId="2" borderId="0" xfId="0" applyFont="1" applyFill="1"/>
    <xf numFmtId="0" fontId="16" fillId="2" borderId="0" xfId="0" applyFont="1" applyFill="1"/>
    <xf numFmtId="0" fontId="6" fillId="2" borderId="0" xfId="0" applyFont="1" applyFill="1" applyBorder="1" applyAlignment="1">
      <alignment horizontal="left" vertical="top" wrapText="1" indent="2"/>
    </xf>
    <xf numFmtId="0" fontId="11" fillId="2" borderId="0" xfId="0" applyFont="1" applyFill="1" applyBorder="1" applyAlignment="1">
      <alignment horizontal="centerContinuous" vertical="center"/>
    </xf>
    <xf numFmtId="0" fontId="11" fillId="2" borderId="0" xfId="0" applyFont="1" applyFill="1" applyBorder="1" applyAlignment="1">
      <alignment horizontal="center" vertical="center"/>
    </xf>
    <xf numFmtId="0" fontId="12" fillId="2" borderId="0" xfId="0" applyFont="1" applyFill="1"/>
    <xf numFmtId="0" fontId="13" fillId="2" borderId="0" xfId="0" applyFont="1" applyFill="1"/>
    <xf numFmtId="0" fontId="5" fillId="2" borderId="2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textRotation="90" wrapText="1"/>
    </xf>
    <xf numFmtId="0" fontId="13" fillId="2" borderId="0" xfId="0" applyFont="1" applyFill="1" applyAlignment="1">
      <alignment vertical="center"/>
    </xf>
    <xf numFmtId="0" fontId="6" fillId="2" borderId="0" xfId="0" applyFont="1" applyFill="1" applyBorder="1" applyAlignment="1">
      <alignment horizontal="center" wrapText="1"/>
    </xf>
    <xf numFmtId="0" fontId="11" fillId="2" borderId="0" xfId="0" applyFont="1" applyFill="1"/>
    <xf numFmtId="0" fontId="8" fillId="2" borderId="0" xfId="0" applyFont="1" applyFill="1" applyBorder="1" applyAlignment="1">
      <alignment horizontal="left" vertical="top" wrapText="1"/>
    </xf>
    <xf numFmtId="3" fontId="8" fillId="2" borderId="0" xfId="0" applyNumberFormat="1" applyFont="1" applyFill="1" applyBorder="1"/>
    <xf numFmtId="164" fontId="8" fillId="2" borderId="0" xfId="0" applyNumberFormat="1" applyFont="1" applyFill="1" applyBorder="1" applyAlignment="1">
      <alignment horizontal="right" vertical="center"/>
    </xf>
    <xf numFmtId="0" fontId="8" fillId="2" borderId="0" xfId="0" applyFont="1" applyFill="1" applyBorder="1"/>
    <xf numFmtId="0" fontId="14" fillId="2" borderId="0" xfId="0" applyFont="1" applyFill="1" applyBorder="1" applyAlignment="1">
      <alignment horizontal="left" vertical="center" wrapText="1"/>
    </xf>
    <xf numFmtId="3" fontId="8" fillId="2" borderId="0" xfId="0" applyNumberFormat="1" applyFont="1" applyFill="1" applyBorder="1" applyAlignment="1">
      <alignment horizontal="right" vertical="center"/>
    </xf>
    <xf numFmtId="3" fontId="14" fillId="2" borderId="0" xfId="0" applyNumberFormat="1" applyFont="1" applyFill="1" applyBorder="1" applyAlignment="1">
      <alignment horizontal="right" vertical="center"/>
    </xf>
    <xf numFmtId="0" fontId="3" fillId="2" borderId="0" xfId="0" applyFont="1" applyFill="1" applyAlignment="1">
      <alignment vertical="center"/>
    </xf>
    <xf numFmtId="0" fontId="12" fillId="2" borderId="0" xfId="0" applyFont="1" applyFill="1" applyBorder="1" applyAlignment="1">
      <alignment horizontal="left" vertical="top" wrapText="1" indent="1"/>
    </xf>
    <xf numFmtId="164" fontId="12" fillId="2" borderId="0" xfId="0" applyNumberFormat="1" applyFont="1" applyFill="1" applyBorder="1" applyAlignment="1">
      <alignment horizontal="right" vertical="center"/>
    </xf>
    <xf numFmtId="167" fontId="7" fillId="2" borderId="0" xfId="2" applyNumberFormat="1" applyFont="1" applyFill="1" applyBorder="1" applyAlignment="1">
      <alignment horizontal="right" vertical="center"/>
    </xf>
    <xf numFmtId="167" fontId="8" fillId="2" borderId="0" xfId="2" applyNumberFormat="1" applyFont="1" applyFill="1" applyBorder="1" applyAlignment="1">
      <alignment horizontal="right" vertical="center"/>
    </xf>
    <xf numFmtId="0" fontId="7" fillId="2" borderId="0" xfId="0" applyFont="1" applyFill="1" applyBorder="1" applyAlignment="1">
      <alignment horizontal="left" vertical="top" wrapText="1" indent="1"/>
    </xf>
    <xf numFmtId="0" fontId="8" fillId="2" borderId="1" xfId="0" applyFont="1" applyFill="1" applyBorder="1" applyAlignment="1">
      <alignment horizontal="left" vertical="top" wrapText="1" indent="2"/>
    </xf>
    <xf numFmtId="3" fontId="12" fillId="2" borderId="1" xfId="0" applyNumberFormat="1" applyFont="1" applyFill="1" applyBorder="1"/>
    <xf numFmtId="167" fontId="8" fillId="2" borderId="1" xfId="2" applyNumberFormat="1" applyFont="1" applyFill="1" applyBorder="1" applyAlignment="1">
      <alignment horizontal="right" vertical="center"/>
    </xf>
    <xf numFmtId="0" fontId="12" fillId="2" borderId="1" xfId="0" applyFont="1" applyFill="1" applyBorder="1"/>
    <xf numFmtId="0" fontId="8" fillId="2" borderId="0" xfId="0" applyFont="1" applyFill="1" applyBorder="1" applyAlignment="1">
      <alignment horizontal="left" vertical="top" wrapText="1" indent="2"/>
    </xf>
    <xf numFmtId="3" fontId="12" fillId="2" borderId="0" xfId="0" applyNumberFormat="1" applyFont="1" applyFill="1"/>
    <xf numFmtId="3" fontId="11" fillId="2" borderId="0" xfId="0" applyNumberFormat="1" applyFont="1" applyFill="1"/>
    <xf numFmtId="0" fontId="19" fillId="0" borderId="0" xfId="4" applyFont="1"/>
    <xf numFmtId="0" fontId="20" fillId="0" borderId="0" xfId="4" applyFont="1"/>
    <xf numFmtId="0" fontId="4" fillId="0" borderId="0" xfId="4" applyFont="1"/>
    <xf numFmtId="0" fontId="21" fillId="0" borderId="0" xfId="4" applyFont="1"/>
    <xf numFmtId="0" fontId="13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textRotation="90" wrapText="1"/>
    </xf>
    <xf numFmtId="0" fontId="5" fillId="2" borderId="5" xfId="0" applyFont="1" applyFill="1" applyBorder="1" applyAlignment="1">
      <alignment horizontal="center" vertical="center" textRotation="90" wrapText="1"/>
    </xf>
    <xf numFmtId="0" fontId="5" fillId="2" borderId="6" xfId="0" applyFont="1" applyFill="1" applyBorder="1" applyAlignment="1">
      <alignment horizontal="center" vertical="center" textRotation="90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textRotation="90" wrapText="1"/>
    </xf>
    <xf numFmtId="0" fontId="5" fillId="2" borderId="1" xfId="0" applyFont="1" applyFill="1" applyBorder="1" applyAlignment="1">
      <alignment horizontal="center" vertical="center" textRotation="90" wrapText="1"/>
    </xf>
    <xf numFmtId="0" fontId="3" fillId="2" borderId="0" xfId="0" applyFont="1" applyFill="1" applyBorder="1" applyAlignment="1">
      <alignment horizontal="center" vertical="center" wrapText="1"/>
    </xf>
  </cellXfs>
  <cellStyles count="21">
    <cellStyle name="Euro" xfId="1" xr:uid="{00000000-0005-0000-0000-000000000000}"/>
    <cellStyle name="Hyperlink_CUADRO 02" xfId="6" xr:uid="{00000000-0005-0000-0000-000001000000}"/>
    <cellStyle name="Millares" xfId="2" builtinId="3"/>
    <cellStyle name="Millares 2" xfId="7" xr:uid="{00000000-0005-0000-0000-000003000000}"/>
    <cellStyle name="Millares 3" xfId="8" xr:uid="{00000000-0005-0000-0000-000004000000}"/>
    <cellStyle name="Millares 4" xfId="9" xr:uid="{00000000-0005-0000-0000-000005000000}"/>
    <cellStyle name="Millares 5" xfId="10" xr:uid="{00000000-0005-0000-0000-000006000000}"/>
    <cellStyle name="Normal" xfId="0" builtinId="0"/>
    <cellStyle name="Normal 2" xfId="4" xr:uid="{00000000-0005-0000-0000-000009000000}"/>
    <cellStyle name="Normal 2 2" xfId="11" xr:uid="{00000000-0005-0000-0000-00000A000000}"/>
    <cellStyle name="Normal 2 2 2" xfId="12" xr:uid="{00000000-0005-0000-0000-00000B000000}"/>
    <cellStyle name="Normal 2 3" xfId="13" xr:uid="{00000000-0005-0000-0000-00000C000000}"/>
    <cellStyle name="Normal 2 4" xfId="14" xr:uid="{00000000-0005-0000-0000-00000D000000}"/>
    <cellStyle name="Normal 2 5" xfId="15" xr:uid="{00000000-0005-0000-0000-00000E000000}"/>
    <cellStyle name="Normal 2 5 2" xfId="16" xr:uid="{00000000-0005-0000-0000-00000F000000}"/>
    <cellStyle name="Normal 3" xfId="5" xr:uid="{00000000-0005-0000-0000-000010000000}"/>
    <cellStyle name="Normal 4" xfId="17" xr:uid="{00000000-0005-0000-0000-000011000000}"/>
    <cellStyle name="Normal 5" xfId="3" xr:uid="{00000000-0005-0000-0000-000012000000}"/>
    <cellStyle name="Normal 5 2" xfId="18" xr:uid="{00000000-0005-0000-0000-000013000000}"/>
    <cellStyle name="Normal 6" xfId="19" xr:uid="{00000000-0005-0000-0000-000014000000}"/>
    <cellStyle name="Normal 6 2" xfId="20" xr:uid="{00000000-0005-0000-0000-00001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552450</xdr:colOff>
      <xdr:row>1</xdr:row>
      <xdr:rowOff>0</xdr:rowOff>
    </xdr:from>
    <xdr:to>
      <xdr:col>0</xdr:col>
      <xdr:colOff>1381125</xdr:colOff>
      <xdr:row>1</xdr:row>
      <xdr:rowOff>409574</xdr:rowOff>
    </xdr:to>
    <xdr:sp macro="[0]!VER_MENU" textlink="">
      <xdr:nvSpPr>
        <xdr:cNvPr id="2" name="1 Flecha izquier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2450" y="190500"/>
          <a:ext cx="828675" cy="40957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R" sz="1100"/>
            <a:t>MENU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6"/>
  <dimension ref="A1:C156"/>
  <sheetViews>
    <sheetView topLeftCell="A76" workbookViewId="0">
      <selection activeCell="C101" sqref="C101"/>
    </sheetView>
  </sheetViews>
  <sheetFormatPr baseColWidth="10" defaultColWidth="11.44140625" defaultRowHeight="13.2" x14ac:dyDescent="0.25"/>
  <cols>
    <col min="1" max="1" width="19.33203125" style="2" bestFit="1" customWidth="1"/>
    <col min="2" max="2" width="80.6640625" style="2" customWidth="1"/>
    <col min="3" max="3" width="14.5546875" style="2" bestFit="1" customWidth="1"/>
    <col min="4" max="16384" width="11.44140625" style="2"/>
  </cols>
  <sheetData>
    <row r="1" spans="1:3" ht="12.9" customHeight="1" x14ac:dyDescent="0.25">
      <c r="A1" s="2" t="s">
        <v>117</v>
      </c>
      <c r="B1" s="2" t="s">
        <v>159</v>
      </c>
      <c r="C1" s="1" t="s">
        <v>139</v>
      </c>
    </row>
    <row r="2" spans="1:3" ht="12.9" customHeight="1" x14ac:dyDescent="0.25">
      <c r="A2" s="2" t="s">
        <v>294</v>
      </c>
      <c r="B2" s="2" t="s">
        <v>298</v>
      </c>
      <c r="C2" s="2" t="s">
        <v>302</v>
      </c>
    </row>
    <row r="3" spans="1:3" ht="12.9" customHeight="1" x14ac:dyDescent="0.25">
      <c r="A3" s="2" t="s">
        <v>118</v>
      </c>
      <c r="B3" s="2" t="s">
        <v>169</v>
      </c>
      <c r="C3" s="1" t="s">
        <v>140</v>
      </c>
    </row>
    <row r="4" spans="1:3" ht="12.9" customHeight="1" x14ac:dyDescent="0.25">
      <c r="A4" s="2" t="s">
        <v>131</v>
      </c>
      <c r="B4" s="2" t="s">
        <v>184</v>
      </c>
      <c r="C4" s="1" t="s">
        <v>141</v>
      </c>
    </row>
    <row r="5" spans="1:3" ht="12.9" customHeight="1" x14ac:dyDescent="0.25">
      <c r="A5" s="2" t="s">
        <v>132</v>
      </c>
      <c r="B5" s="2" t="s">
        <v>185</v>
      </c>
      <c r="C5" s="1" t="s">
        <v>142</v>
      </c>
    </row>
    <row r="6" spans="1:3" ht="12.9" customHeight="1" x14ac:dyDescent="0.25">
      <c r="A6" s="2" t="s">
        <v>133</v>
      </c>
      <c r="B6" s="2" t="s">
        <v>186</v>
      </c>
      <c r="C6" s="1" t="s">
        <v>143</v>
      </c>
    </row>
    <row r="7" spans="1:3" ht="12.9" customHeight="1" x14ac:dyDescent="0.25">
      <c r="A7" s="2" t="s">
        <v>134</v>
      </c>
      <c r="B7" s="2" t="s">
        <v>187</v>
      </c>
      <c r="C7" s="1" t="s">
        <v>144</v>
      </c>
    </row>
    <row r="8" spans="1:3" ht="12.9" customHeight="1" x14ac:dyDescent="0.25">
      <c r="A8" s="2" t="s">
        <v>135</v>
      </c>
      <c r="B8" s="2" t="s">
        <v>188</v>
      </c>
      <c r="C8" s="1" t="s">
        <v>145</v>
      </c>
    </row>
    <row r="9" spans="1:3" ht="12.9" customHeight="1" x14ac:dyDescent="0.25">
      <c r="A9" s="2" t="s">
        <v>136</v>
      </c>
      <c r="B9" s="2" t="s">
        <v>189</v>
      </c>
      <c r="C9" s="1" t="s">
        <v>146</v>
      </c>
    </row>
    <row r="10" spans="1:3" ht="12.9" customHeight="1" x14ac:dyDescent="0.25">
      <c r="A10" s="2" t="s">
        <v>137</v>
      </c>
      <c r="B10" s="2" t="s">
        <v>190</v>
      </c>
      <c r="C10" s="1" t="s">
        <v>147</v>
      </c>
    </row>
    <row r="11" spans="1:3" ht="12.9" customHeight="1" x14ac:dyDescent="0.25">
      <c r="A11" s="2" t="s">
        <v>138</v>
      </c>
      <c r="B11" s="2" t="s">
        <v>191</v>
      </c>
      <c r="C11" s="1" t="s">
        <v>148</v>
      </c>
    </row>
    <row r="12" spans="1:3" ht="12.9" customHeight="1" x14ac:dyDescent="0.25">
      <c r="A12" s="2" t="s">
        <v>295</v>
      </c>
      <c r="B12" s="2" t="s">
        <v>299</v>
      </c>
      <c r="C12" s="2" t="s">
        <v>303</v>
      </c>
    </row>
    <row r="13" spans="1:3" ht="12.9" customHeight="1" x14ac:dyDescent="0.25">
      <c r="A13" s="2" t="s">
        <v>297</v>
      </c>
      <c r="B13" s="2" t="s">
        <v>300</v>
      </c>
      <c r="C13" s="2" t="s">
        <v>304</v>
      </c>
    </row>
    <row r="14" spans="1:3" ht="12.9" customHeight="1" x14ac:dyDescent="0.25">
      <c r="A14" s="2" t="s">
        <v>296</v>
      </c>
      <c r="B14" s="2" t="s">
        <v>301</v>
      </c>
      <c r="C14" s="2" t="s">
        <v>305</v>
      </c>
    </row>
    <row r="15" spans="1:3" ht="12.9" customHeight="1" x14ac:dyDescent="0.25">
      <c r="A15" s="2" t="s">
        <v>170</v>
      </c>
      <c r="B15" s="2" t="s">
        <v>192</v>
      </c>
      <c r="C15" s="1" t="s">
        <v>177</v>
      </c>
    </row>
    <row r="16" spans="1:3" ht="12.9" customHeight="1" x14ac:dyDescent="0.25">
      <c r="A16" s="2" t="s">
        <v>171</v>
      </c>
      <c r="B16" s="2" t="s">
        <v>193</v>
      </c>
      <c r="C16" s="1" t="s">
        <v>178</v>
      </c>
    </row>
    <row r="17" spans="1:3" ht="12.9" customHeight="1" x14ac:dyDescent="0.25">
      <c r="A17" s="2" t="s">
        <v>172</v>
      </c>
      <c r="B17" s="2" t="s">
        <v>194</v>
      </c>
      <c r="C17" s="1" t="s">
        <v>179</v>
      </c>
    </row>
    <row r="18" spans="1:3" ht="12.9" customHeight="1" x14ac:dyDescent="0.25">
      <c r="A18" s="2" t="s">
        <v>173</v>
      </c>
      <c r="B18" s="2" t="s">
        <v>195</v>
      </c>
      <c r="C18" s="1" t="s">
        <v>180</v>
      </c>
    </row>
    <row r="19" spans="1:3" x14ac:dyDescent="0.25">
      <c r="A19" s="2" t="s">
        <v>174</v>
      </c>
      <c r="B19" s="2" t="s">
        <v>196</v>
      </c>
      <c r="C19" s="1" t="s">
        <v>181</v>
      </c>
    </row>
    <row r="20" spans="1:3" x14ac:dyDescent="0.25">
      <c r="A20" s="2" t="s">
        <v>175</v>
      </c>
      <c r="B20" s="2" t="s">
        <v>197</v>
      </c>
      <c r="C20" s="1" t="s">
        <v>182</v>
      </c>
    </row>
    <row r="21" spans="1:3" x14ac:dyDescent="0.25">
      <c r="A21" s="2" t="s">
        <v>176</v>
      </c>
      <c r="B21" s="2" t="s">
        <v>198</v>
      </c>
      <c r="C21" s="1" t="s">
        <v>183</v>
      </c>
    </row>
    <row r="22" spans="1:3" x14ac:dyDescent="0.25">
      <c r="B22" s="2" t="s">
        <v>119</v>
      </c>
      <c r="C22" s="1" t="s">
        <v>120</v>
      </c>
    </row>
    <row r="23" spans="1:3" x14ac:dyDescent="0.25">
      <c r="C23" s="1"/>
    </row>
    <row r="24" spans="1:3" x14ac:dyDescent="0.25">
      <c r="C24" s="1"/>
    </row>
    <row r="25" spans="1:3" x14ac:dyDescent="0.25">
      <c r="C25" s="1"/>
    </row>
    <row r="26" spans="1:3" x14ac:dyDescent="0.25">
      <c r="C26" s="2" t="s">
        <v>121</v>
      </c>
    </row>
    <row r="29" spans="1:3" x14ac:dyDescent="0.25">
      <c r="A29" s="39" t="s">
        <v>214</v>
      </c>
    </row>
    <row r="30" spans="1:3" x14ac:dyDescent="0.25">
      <c r="A30" s="2" t="s">
        <v>122</v>
      </c>
      <c r="B30" s="2" t="s">
        <v>159</v>
      </c>
      <c r="C30" s="2" t="s">
        <v>149</v>
      </c>
    </row>
    <row r="31" spans="1:3" x14ac:dyDescent="0.25">
      <c r="A31" s="2" t="s">
        <v>123</v>
      </c>
      <c r="B31" s="2" t="s">
        <v>158</v>
      </c>
      <c r="C31" s="2" t="s">
        <v>150</v>
      </c>
    </row>
    <row r="32" spans="1:3" x14ac:dyDescent="0.25">
      <c r="A32" s="2" t="s">
        <v>124</v>
      </c>
      <c r="B32" s="2" t="s">
        <v>160</v>
      </c>
      <c r="C32" s="2" t="s">
        <v>151</v>
      </c>
    </row>
    <row r="33" spans="1:3" x14ac:dyDescent="0.25">
      <c r="A33" s="2" t="s">
        <v>125</v>
      </c>
      <c r="B33" s="2" t="s">
        <v>161</v>
      </c>
      <c r="C33" s="2" t="s">
        <v>152</v>
      </c>
    </row>
    <row r="34" spans="1:3" x14ac:dyDescent="0.25">
      <c r="A34" s="2" t="s">
        <v>126</v>
      </c>
      <c r="B34" s="2" t="s">
        <v>162</v>
      </c>
      <c r="C34" s="2" t="s">
        <v>153</v>
      </c>
    </row>
    <row r="35" spans="1:3" x14ac:dyDescent="0.25">
      <c r="A35" s="2" t="s">
        <v>127</v>
      </c>
      <c r="B35" s="2" t="s">
        <v>163</v>
      </c>
      <c r="C35" s="2" t="s">
        <v>154</v>
      </c>
    </row>
    <row r="36" spans="1:3" x14ac:dyDescent="0.25">
      <c r="A36" s="2" t="s">
        <v>128</v>
      </c>
      <c r="B36" s="2" t="s">
        <v>164</v>
      </c>
      <c r="C36" s="2" t="s">
        <v>155</v>
      </c>
    </row>
    <row r="37" spans="1:3" x14ac:dyDescent="0.25">
      <c r="A37" s="2" t="s">
        <v>129</v>
      </c>
      <c r="B37" s="2" t="s">
        <v>165</v>
      </c>
      <c r="C37" s="2" t="s">
        <v>156</v>
      </c>
    </row>
    <row r="38" spans="1:3" x14ac:dyDescent="0.25">
      <c r="A38" s="2" t="s">
        <v>167</v>
      </c>
      <c r="B38" s="2" t="s">
        <v>166</v>
      </c>
      <c r="C38" s="2" t="s">
        <v>157</v>
      </c>
    </row>
    <row r="39" spans="1:3" x14ac:dyDescent="0.25">
      <c r="A39" s="2" t="s">
        <v>199</v>
      </c>
      <c r="B39" s="2" t="s">
        <v>192</v>
      </c>
      <c r="C39" s="2" t="s">
        <v>206</v>
      </c>
    </row>
    <row r="40" spans="1:3" x14ac:dyDescent="0.25">
      <c r="A40" s="2" t="s">
        <v>200</v>
      </c>
      <c r="B40" s="2" t="s">
        <v>193</v>
      </c>
      <c r="C40" s="2" t="s">
        <v>207</v>
      </c>
    </row>
    <row r="41" spans="1:3" x14ac:dyDescent="0.25">
      <c r="A41" s="2" t="s">
        <v>201</v>
      </c>
      <c r="B41" s="2" t="s">
        <v>194</v>
      </c>
      <c r="C41" s="2" t="s">
        <v>208</v>
      </c>
    </row>
    <row r="42" spans="1:3" x14ac:dyDescent="0.25">
      <c r="A42" s="2" t="s">
        <v>202</v>
      </c>
      <c r="B42" s="2" t="s">
        <v>195</v>
      </c>
      <c r="C42" s="2" t="s">
        <v>209</v>
      </c>
    </row>
    <row r="43" spans="1:3" x14ac:dyDescent="0.25">
      <c r="A43" s="2" t="s">
        <v>203</v>
      </c>
      <c r="B43" s="2" t="s">
        <v>196</v>
      </c>
      <c r="C43" s="2" t="s">
        <v>210</v>
      </c>
    </row>
    <row r="44" spans="1:3" x14ac:dyDescent="0.25">
      <c r="A44" s="2" t="s">
        <v>204</v>
      </c>
      <c r="B44" s="2" t="s">
        <v>197</v>
      </c>
      <c r="C44" s="2" t="s">
        <v>211</v>
      </c>
    </row>
    <row r="45" spans="1:3" x14ac:dyDescent="0.25">
      <c r="A45" s="2" t="s">
        <v>205</v>
      </c>
      <c r="B45" s="2" t="s">
        <v>198</v>
      </c>
      <c r="C45" s="2" t="s">
        <v>212</v>
      </c>
    </row>
    <row r="46" spans="1:3" x14ac:dyDescent="0.25">
      <c r="B46" s="2" t="s">
        <v>130</v>
      </c>
      <c r="C46" s="1" t="s">
        <v>120</v>
      </c>
    </row>
    <row r="49" spans="1:3" x14ac:dyDescent="0.25">
      <c r="B49" s="1"/>
    </row>
    <row r="59" spans="1:3" ht="15" x14ac:dyDescent="0.25">
      <c r="A59" s="40" t="s">
        <v>306</v>
      </c>
    </row>
    <row r="60" spans="1:3" x14ac:dyDescent="0.25">
      <c r="A60" s="2" t="s">
        <v>216</v>
      </c>
      <c r="B60" s="2" t="s">
        <v>159</v>
      </c>
      <c r="C60" s="1" t="s">
        <v>217</v>
      </c>
    </row>
    <row r="61" spans="1:3" x14ac:dyDescent="0.25">
      <c r="A61" s="2" t="s">
        <v>307</v>
      </c>
      <c r="B61" s="2" t="s">
        <v>298</v>
      </c>
      <c r="C61" s="2" t="s">
        <v>308</v>
      </c>
    </row>
    <row r="62" spans="1:3" x14ac:dyDescent="0.25">
      <c r="A62" s="2" t="s">
        <v>309</v>
      </c>
      <c r="B62" s="2" t="s">
        <v>310</v>
      </c>
      <c r="C62" s="2" t="s">
        <v>311</v>
      </c>
    </row>
    <row r="63" spans="1:3" x14ac:dyDescent="0.25">
      <c r="A63" s="2" t="s">
        <v>218</v>
      </c>
      <c r="B63" s="2" t="s">
        <v>169</v>
      </c>
      <c r="C63" s="1" t="s">
        <v>219</v>
      </c>
    </row>
    <row r="64" spans="1:3" x14ac:dyDescent="0.25">
      <c r="A64" s="2" t="s">
        <v>242</v>
      </c>
      <c r="B64" s="2" t="s">
        <v>184</v>
      </c>
      <c r="C64" s="1" t="s">
        <v>220</v>
      </c>
    </row>
    <row r="65" spans="1:3" x14ac:dyDescent="0.25">
      <c r="A65" s="2" t="s">
        <v>243</v>
      </c>
      <c r="B65" s="2" t="s">
        <v>185</v>
      </c>
      <c r="C65" s="1" t="s">
        <v>221</v>
      </c>
    </row>
    <row r="66" spans="1:3" x14ac:dyDescent="0.25">
      <c r="A66" s="2" t="s">
        <v>244</v>
      </c>
      <c r="B66" s="2" t="s">
        <v>186</v>
      </c>
      <c r="C66" s="1" t="s">
        <v>222</v>
      </c>
    </row>
    <row r="67" spans="1:3" x14ac:dyDescent="0.25">
      <c r="A67" s="2" t="s">
        <v>245</v>
      </c>
      <c r="B67" s="2" t="s">
        <v>187</v>
      </c>
      <c r="C67" s="1" t="s">
        <v>223</v>
      </c>
    </row>
    <row r="68" spans="1:3" x14ac:dyDescent="0.25">
      <c r="A68" s="2" t="s">
        <v>246</v>
      </c>
      <c r="B68" s="2" t="s">
        <v>188</v>
      </c>
      <c r="C68" s="1" t="s">
        <v>224</v>
      </c>
    </row>
    <row r="69" spans="1:3" x14ac:dyDescent="0.25">
      <c r="A69" s="2" t="s">
        <v>247</v>
      </c>
      <c r="B69" s="2" t="s">
        <v>189</v>
      </c>
      <c r="C69" s="1" t="s">
        <v>225</v>
      </c>
    </row>
    <row r="70" spans="1:3" x14ac:dyDescent="0.25">
      <c r="A70" s="2" t="s">
        <v>226</v>
      </c>
      <c r="B70" s="2" t="s">
        <v>190</v>
      </c>
      <c r="C70" s="1" t="s">
        <v>227</v>
      </c>
    </row>
    <row r="71" spans="1:3" x14ac:dyDescent="0.25">
      <c r="A71" s="2" t="s">
        <v>228</v>
      </c>
      <c r="B71" s="2" t="s">
        <v>191</v>
      </c>
      <c r="C71" s="1" t="s">
        <v>229</v>
      </c>
    </row>
    <row r="72" spans="1:3" x14ac:dyDescent="0.25">
      <c r="A72" s="2" t="s">
        <v>327</v>
      </c>
      <c r="B72" s="2" t="s">
        <v>331</v>
      </c>
      <c r="C72" s="2" t="s">
        <v>328</v>
      </c>
    </row>
    <row r="73" spans="1:3" x14ac:dyDescent="0.25">
      <c r="A73" s="2" t="s">
        <v>230</v>
      </c>
      <c r="B73" s="2" t="s">
        <v>192</v>
      </c>
      <c r="C73" s="1" t="s">
        <v>231</v>
      </c>
    </row>
    <row r="74" spans="1:3" x14ac:dyDescent="0.25">
      <c r="A74" s="2" t="s">
        <v>232</v>
      </c>
      <c r="B74" s="2" t="s">
        <v>193</v>
      </c>
      <c r="C74" s="1" t="s">
        <v>233</v>
      </c>
    </row>
    <row r="75" spans="1:3" x14ac:dyDescent="0.25">
      <c r="A75" s="2" t="s">
        <v>234</v>
      </c>
      <c r="B75" s="2" t="s">
        <v>194</v>
      </c>
      <c r="C75" s="1" t="s">
        <v>235</v>
      </c>
    </row>
    <row r="76" spans="1:3" x14ac:dyDescent="0.25">
      <c r="A76" s="2" t="s">
        <v>236</v>
      </c>
      <c r="B76" s="2" t="s">
        <v>195</v>
      </c>
      <c r="C76" s="1" t="s">
        <v>237</v>
      </c>
    </row>
    <row r="77" spans="1:3" x14ac:dyDescent="0.25">
      <c r="A77" s="2" t="s">
        <v>238</v>
      </c>
      <c r="B77" s="2" t="s">
        <v>196</v>
      </c>
      <c r="C77" s="1" t="s">
        <v>239</v>
      </c>
    </row>
    <row r="78" spans="1:3" x14ac:dyDescent="0.25">
      <c r="A78" s="2" t="s">
        <v>240</v>
      </c>
      <c r="B78" s="2" t="s">
        <v>197</v>
      </c>
      <c r="C78" s="1" t="s">
        <v>241</v>
      </c>
    </row>
    <row r="79" spans="1:3" x14ac:dyDescent="0.25">
      <c r="A79" s="2" t="s">
        <v>248</v>
      </c>
      <c r="B79" s="2" t="s">
        <v>198</v>
      </c>
      <c r="C79" s="1" t="s">
        <v>249</v>
      </c>
    </row>
    <row r="80" spans="1:3" x14ac:dyDescent="0.25">
      <c r="B80" s="2" t="s">
        <v>119</v>
      </c>
      <c r="C80" s="1" t="s">
        <v>120</v>
      </c>
    </row>
    <row r="83" spans="1:3" x14ac:dyDescent="0.25">
      <c r="B83" s="1"/>
    </row>
    <row r="86" spans="1:3" x14ac:dyDescent="0.25">
      <c r="B86" s="1"/>
    </row>
    <row r="89" spans="1:3" ht="15" x14ac:dyDescent="0.25">
      <c r="A89" s="40" t="s">
        <v>215</v>
      </c>
      <c r="B89" s="1"/>
    </row>
    <row r="90" spans="1:3" x14ac:dyDescent="0.25">
      <c r="A90" s="2" t="s">
        <v>250</v>
      </c>
      <c r="B90" s="2" t="s">
        <v>312</v>
      </c>
      <c r="C90" s="1" t="s">
        <v>251</v>
      </c>
    </row>
    <row r="91" spans="1:3" x14ac:dyDescent="0.25">
      <c r="A91" s="2" t="s">
        <v>252</v>
      </c>
      <c r="B91" s="2" t="s">
        <v>313</v>
      </c>
      <c r="C91" s="1" t="s">
        <v>253</v>
      </c>
    </row>
    <row r="92" spans="1:3" x14ac:dyDescent="0.25">
      <c r="A92" s="2" t="s">
        <v>314</v>
      </c>
      <c r="B92" s="2" t="s">
        <v>315</v>
      </c>
      <c r="C92" s="2" t="s">
        <v>319</v>
      </c>
    </row>
    <row r="93" spans="1:3" x14ac:dyDescent="0.25">
      <c r="A93" s="2" t="s">
        <v>254</v>
      </c>
      <c r="B93" s="2" t="s">
        <v>316</v>
      </c>
      <c r="C93" s="1" t="s">
        <v>255</v>
      </c>
    </row>
    <row r="94" spans="1:3" x14ac:dyDescent="0.25">
      <c r="A94" s="2" t="s">
        <v>256</v>
      </c>
      <c r="B94" s="2" t="s">
        <v>317</v>
      </c>
      <c r="C94" s="1" t="s">
        <v>257</v>
      </c>
    </row>
    <row r="95" spans="1:3" x14ac:dyDescent="0.25">
      <c r="A95" s="2" t="s">
        <v>258</v>
      </c>
      <c r="B95" s="2" t="s">
        <v>318</v>
      </c>
      <c r="C95" s="1" t="s">
        <v>259</v>
      </c>
    </row>
    <row r="96" spans="1:3" x14ac:dyDescent="0.25">
      <c r="A96" s="2" t="s">
        <v>325</v>
      </c>
      <c r="B96" s="2" t="s">
        <v>321</v>
      </c>
      <c r="C96" s="2" t="s">
        <v>320</v>
      </c>
    </row>
    <row r="97" spans="1:3" x14ac:dyDescent="0.25">
      <c r="A97" s="2" t="s">
        <v>260</v>
      </c>
      <c r="B97" s="2" t="s">
        <v>322</v>
      </c>
      <c r="C97" s="1" t="s">
        <v>261</v>
      </c>
    </row>
    <row r="98" spans="1:3" x14ac:dyDescent="0.25">
      <c r="A98" s="2" t="s">
        <v>262</v>
      </c>
      <c r="B98" s="2" t="s">
        <v>323</v>
      </c>
      <c r="C98" s="1" t="s">
        <v>263</v>
      </c>
    </row>
    <row r="99" spans="1:3" x14ac:dyDescent="0.25">
      <c r="A99" s="2" t="s">
        <v>264</v>
      </c>
      <c r="B99" s="2" t="s">
        <v>324</v>
      </c>
      <c r="C99" s="1" t="s">
        <v>265</v>
      </c>
    </row>
    <row r="100" spans="1:3" x14ac:dyDescent="0.25">
      <c r="A100" s="2" t="s">
        <v>326</v>
      </c>
      <c r="B100" s="2" t="s">
        <v>321</v>
      </c>
      <c r="C100" s="2" t="s">
        <v>363</v>
      </c>
    </row>
    <row r="101" spans="1:3" x14ac:dyDescent="0.25">
      <c r="A101" s="2" t="s">
        <v>329</v>
      </c>
      <c r="B101" s="2" t="s">
        <v>332</v>
      </c>
      <c r="C101" s="2" t="s">
        <v>330</v>
      </c>
    </row>
    <row r="102" spans="1:3" x14ac:dyDescent="0.25">
      <c r="A102" s="2" t="s">
        <v>266</v>
      </c>
      <c r="B102" s="2" t="s">
        <v>336</v>
      </c>
      <c r="C102" s="1" t="s">
        <v>267</v>
      </c>
    </row>
    <row r="103" spans="1:3" x14ac:dyDescent="0.25">
      <c r="A103" s="2" t="s">
        <v>334</v>
      </c>
      <c r="B103" s="2" t="s">
        <v>333</v>
      </c>
      <c r="C103" s="2" t="s">
        <v>335</v>
      </c>
    </row>
    <row r="104" spans="1:3" x14ac:dyDescent="0.25">
      <c r="A104" s="2" t="s">
        <v>268</v>
      </c>
      <c r="B104" s="2" t="s">
        <v>337</v>
      </c>
      <c r="C104" s="1" t="s">
        <v>269</v>
      </c>
    </row>
    <row r="105" spans="1:3" x14ac:dyDescent="0.25">
      <c r="A105" s="2" t="s">
        <v>270</v>
      </c>
      <c r="B105" s="2" t="s">
        <v>338</v>
      </c>
      <c r="C105" s="1" t="s">
        <v>271</v>
      </c>
    </row>
    <row r="106" spans="1:3" x14ac:dyDescent="0.25">
      <c r="A106" s="2" t="s">
        <v>272</v>
      </c>
      <c r="B106" s="2" t="s">
        <v>339</v>
      </c>
      <c r="C106" s="1" t="s">
        <v>273</v>
      </c>
    </row>
    <row r="107" spans="1:3" x14ac:dyDescent="0.25">
      <c r="A107" s="2" t="s">
        <v>340</v>
      </c>
      <c r="B107" s="2" t="s">
        <v>342</v>
      </c>
      <c r="C107" s="1" t="s">
        <v>341</v>
      </c>
    </row>
    <row r="108" spans="1:3" x14ac:dyDescent="0.25">
      <c r="A108" s="41" t="s">
        <v>214</v>
      </c>
      <c r="B108" s="2" t="s">
        <v>343</v>
      </c>
      <c r="C108" s="1" t="s">
        <v>214</v>
      </c>
    </row>
    <row r="109" spans="1:3" x14ac:dyDescent="0.25">
      <c r="A109" s="41" t="s">
        <v>213</v>
      </c>
      <c r="B109" s="2" t="s">
        <v>344</v>
      </c>
      <c r="C109" s="1" t="s">
        <v>213</v>
      </c>
    </row>
    <row r="110" spans="1:3" x14ac:dyDescent="0.25">
      <c r="B110" s="2" t="s">
        <v>119</v>
      </c>
      <c r="C110" s="1" t="s">
        <v>120</v>
      </c>
    </row>
    <row r="119" spans="1:3" ht="15" x14ac:dyDescent="0.25">
      <c r="A119" s="40" t="s">
        <v>360</v>
      </c>
    </row>
    <row r="120" spans="1:3" x14ac:dyDescent="0.25">
      <c r="A120" s="2" t="s">
        <v>274</v>
      </c>
      <c r="B120" s="2" t="s">
        <v>354</v>
      </c>
      <c r="C120" s="1" t="s">
        <v>275</v>
      </c>
    </row>
    <row r="121" spans="1:3" x14ac:dyDescent="0.25">
      <c r="A121" s="2" t="s">
        <v>276</v>
      </c>
      <c r="B121" s="2" t="s">
        <v>355</v>
      </c>
      <c r="C121" s="1" t="s">
        <v>277</v>
      </c>
    </row>
    <row r="122" spans="1:3" x14ac:dyDescent="0.25">
      <c r="A122" s="2" t="s">
        <v>278</v>
      </c>
      <c r="B122" s="2" t="s">
        <v>356</v>
      </c>
      <c r="C122" s="1" t="s">
        <v>279</v>
      </c>
    </row>
    <row r="123" spans="1:3" x14ac:dyDescent="0.25">
      <c r="A123" s="2" t="s">
        <v>280</v>
      </c>
      <c r="B123" s="2" t="s">
        <v>357</v>
      </c>
      <c r="C123" s="1" t="s">
        <v>281</v>
      </c>
    </row>
    <row r="124" spans="1:3" x14ac:dyDescent="0.25">
      <c r="A124" s="2" t="s">
        <v>282</v>
      </c>
      <c r="B124" s="2" t="s">
        <v>358</v>
      </c>
      <c r="C124" s="1" t="s">
        <v>283</v>
      </c>
    </row>
    <row r="125" spans="1:3" x14ac:dyDescent="0.25">
      <c r="A125" s="2" t="s">
        <v>284</v>
      </c>
      <c r="B125" s="2" t="s">
        <v>359</v>
      </c>
      <c r="C125" s="1" t="s">
        <v>285</v>
      </c>
    </row>
    <row r="126" spans="1:3" x14ac:dyDescent="0.25">
      <c r="B126" s="2" t="s">
        <v>119</v>
      </c>
      <c r="C126" s="1" t="s">
        <v>120</v>
      </c>
    </row>
    <row r="127" spans="1:3" x14ac:dyDescent="0.25">
      <c r="C127" s="1"/>
    </row>
    <row r="128" spans="1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49" spans="1:3" ht="17.399999999999999" x14ac:dyDescent="0.3">
      <c r="A149" s="42" t="s">
        <v>361</v>
      </c>
    </row>
    <row r="150" spans="1:3" x14ac:dyDescent="0.25">
      <c r="A150" s="2" t="s">
        <v>345</v>
      </c>
      <c r="B150" s="2" t="s">
        <v>347</v>
      </c>
      <c r="C150" s="1" t="s">
        <v>286</v>
      </c>
    </row>
    <row r="151" spans="1:3" x14ac:dyDescent="0.25">
      <c r="A151" s="2" t="s">
        <v>346</v>
      </c>
      <c r="B151" s="2" t="s">
        <v>348</v>
      </c>
      <c r="C151" s="1" t="s">
        <v>287</v>
      </c>
    </row>
    <row r="152" spans="1:3" x14ac:dyDescent="0.25">
      <c r="A152" s="2" t="s">
        <v>288</v>
      </c>
      <c r="B152" s="2" t="s">
        <v>349</v>
      </c>
      <c r="C152" s="1" t="s">
        <v>289</v>
      </c>
    </row>
    <row r="153" spans="1:3" x14ac:dyDescent="0.25">
      <c r="A153" s="2" t="s">
        <v>290</v>
      </c>
      <c r="B153" s="2" t="s">
        <v>350</v>
      </c>
      <c r="C153" s="1" t="s">
        <v>291</v>
      </c>
    </row>
    <row r="154" spans="1:3" x14ac:dyDescent="0.25">
      <c r="A154" s="2" t="s">
        <v>292</v>
      </c>
      <c r="B154" s="2" t="s">
        <v>362</v>
      </c>
      <c r="C154" s="1" t="s">
        <v>293</v>
      </c>
    </row>
    <row r="155" spans="1:3" x14ac:dyDescent="0.25">
      <c r="A155" s="2" t="s">
        <v>351</v>
      </c>
      <c r="B155" s="2" t="s">
        <v>352</v>
      </c>
      <c r="C155" s="1" t="s">
        <v>353</v>
      </c>
    </row>
    <row r="156" spans="1:3" x14ac:dyDescent="0.25">
      <c r="B156" s="2" t="s">
        <v>119</v>
      </c>
      <c r="C156" s="1" t="s">
        <v>120</v>
      </c>
    </row>
  </sheetData>
  <pageMargins left="0.7" right="0.7" top="0.75" bottom="0.75" header="0.3" footer="0.3"/>
  <pageSetup paperSize="14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1">
    <tabColor theme="4" tint="0.59999389629810485"/>
  </sheetPr>
  <dimension ref="A1:AA147"/>
  <sheetViews>
    <sheetView tabSelected="1" topLeftCell="A49" zoomScale="85" zoomScaleNormal="85" workbookViewId="0">
      <selection activeCell="F15" sqref="F15"/>
    </sheetView>
  </sheetViews>
  <sheetFormatPr baseColWidth="10" defaultColWidth="9.109375" defaultRowHeight="13.2" x14ac:dyDescent="0.2"/>
  <cols>
    <col min="1" max="1" width="23.88671875" style="9" customWidth="1"/>
    <col min="2" max="2" width="8.109375" style="18" customWidth="1"/>
    <col min="3" max="3" width="11.44140625" style="18" customWidth="1"/>
    <col min="4" max="4" width="11" style="18" customWidth="1"/>
    <col min="5" max="5" width="7.109375" style="18" customWidth="1"/>
    <col min="6" max="6" width="11.109375" style="18" customWidth="1"/>
    <col min="7" max="21" width="8.6640625" style="18" customWidth="1"/>
    <col min="22" max="22" width="9.88671875" style="18" customWidth="1"/>
    <col min="23" max="23" width="7.88671875" style="18" customWidth="1"/>
    <col min="24" max="16384" width="9.109375" style="18"/>
  </cols>
  <sheetData>
    <row r="1" spans="1:27" s="7" customFormat="1" ht="13.8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</row>
    <row r="2" spans="1:27" s="8" customFormat="1" ht="38.25" customHeight="1" x14ac:dyDescent="0.25">
      <c r="A2" s="57" t="s">
        <v>114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</row>
    <row r="3" spans="1:27" s="12" customFormat="1" x14ac:dyDescent="0.2">
      <c r="A3" s="9"/>
      <c r="B3" s="10"/>
      <c r="C3" s="10"/>
      <c r="D3" s="10"/>
      <c r="E3" s="10"/>
      <c r="F3" s="10"/>
      <c r="G3" s="10"/>
      <c r="H3" s="11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7" s="13" customFormat="1" ht="20.100000000000001" customHeight="1" x14ac:dyDescent="0.25">
      <c r="A4" s="45" t="s">
        <v>113</v>
      </c>
      <c r="B4" s="50" t="s">
        <v>73</v>
      </c>
      <c r="C4" s="47" t="s">
        <v>85</v>
      </c>
      <c r="D4" s="46" t="s">
        <v>0</v>
      </c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3" t="s">
        <v>2</v>
      </c>
      <c r="W4" s="54"/>
    </row>
    <row r="5" spans="1:27" s="13" customFormat="1" ht="20.100000000000001" customHeight="1" x14ac:dyDescent="0.25">
      <c r="A5" s="45"/>
      <c r="B5" s="50"/>
      <c r="C5" s="48"/>
      <c r="D5" s="51" t="s">
        <v>50</v>
      </c>
      <c r="E5" s="47" t="s">
        <v>86</v>
      </c>
      <c r="F5" s="46" t="s">
        <v>1</v>
      </c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7" t="s">
        <v>76</v>
      </c>
      <c r="U5" s="47" t="s">
        <v>82</v>
      </c>
      <c r="V5" s="47" t="s">
        <v>51</v>
      </c>
      <c r="W5" s="55" t="s">
        <v>52</v>
      </c>
    </row>
    <row r="6" spans="1:27" s="16" customFormat="1" ht="92.1" customHeight="1" x14ac:dyDescent="0.25">
      <c r="A6" s="45"/>
      <c r="B6" s="50"/>
      <c r="C6" s="49"/>
      <c r="D6" s="52"/>
      <c r="E6" s="49"/>
      <c r="F6" s="14" t="s">
        <v>49</v>
      </c>
      <c r="G6" s="15" t="s">
        <v>81</v>
      </c>
      <c r="H6" s="15" t="s">
        <v>115</v>
      </c>
      <c r="I6" s="15" t="s">
        <v>107</v>
      </c>
      <c r="J6" s="15" t="s">
        <v>108</v>
      </c>
      <c r="K6" s="15" t="s">
        <v>75</v>
      </c>
      <c r="L6" s="15" t="s">
        <v>74</v>
      </c>
      <c r="M6" s="15" t="s">
        <v>79</v>
      </c>
      <c r="N6" s="15" t="s">
        <v>80</v>
      </c>
      <c r="O6" s="15" t="s">
        <v>109</v>
      </c>
      <c r="P6" s="15" t="s">
        <v>110</v>
      </c>
      <c r="Q6" s="15" t="s">
        <v>78</v>
      </c>
      <c r="R6" s="15" t="s">
        <v>111</v>
      </c>
      <c r="S6" s="15" t="s">
        <v>77</v>
      </c>
      <c r="T6" s="49"/>
      <c r="U6" s="49"/>
      <c r="V6" s="49"/>
      <c r="W6" s="56"/>
    </row>
    <row r="7" spans="1:27" x14ac:dyDescent="0.25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7" s="22" customFormat="1" ht="15" customHeight="1" x14ac:dyDescent="0.25">
      <c r="A8" s="19" t="s">
        <v>53</v>
      </c>
      <c r="B8" s="20">
        <f>B9+B30+B46+B55+B66+B78+B90+B97</f>
        <v>6515</v>
      </c>
      <c r="C8" s="20">
        <f>C9+C30+C46+C55+C66+C78+C90+C97</f>
        <v>3078321</v>
      </c>
      <c r="D8" s="20">
        <f>D9+D30+D46+D55+D66+D78+D90+D97</f>
        <v>2099219</v>
      </c>
      <c r="E8" s="21">
        <f>D8/C8*100</f>
        <v>68.193635426584819</v>
      </c>
      <c r="F8" s="20">
        <f t="shared" ref="F8:V8" si="0">F9+F30+F46+F55+F66+F78+F90+F97</f>
        <v>2055472</v>
      </c>
      <c r="G8" s="20">
        <f t="shared" si="0"/>
        <v>10338.999999999996</v>
      </c>
      <c r="H8" s="20">
        <f t="shared" si="0"/>
        <v>629866.00000000023</v>
      </c>
      <c r="I8" s="20">
        <f t="shared" si="0"/>
        <v>4388</v>
      </c>
      <c r="J8" s="20">
        <f t="shared" si="0"/>
        <v>4897.0000000000009</v>
      </c>
      <c r="K8" s="20">
        <f t="shared" si="0"/>
        <v>354479</v>
      </c>
      <c r="L8" s="20">
        <f t="shared" si="0"/>
        <v>3041.9999999999995</v>
      </c>
      <c r="M8" s="20">
        <f t="shared" si="0"/>
        <v>610633.99999999988</v>
      </c>
      <c r="N8" s="20">
        <f t="shared" si="0"/>
        <v>233063.9999999998</v>
      </c>
      <c r="O8" s="20">
        <f t="shared" si="0"/>
        <v>5881.9999999999982</v>
      </c>
      <c r="P8" s="20">
        <f t="shared" si="0"/>
        <v>30815.999999999985</v>
      </c>
      <c r="Q8" s="20">
        <f t="shared" si="0"/>
        <v>16721.000000000004</v>
      </c>
      <c r="R8" s="20">
        <f t="shared" si="0"/>
        <v>27691</v>
      </c>
      <c r="S8" s="20">
        <f t="shared" si="0"/>
        <v>123653.00000000004</v>
      </c>
      <c r="T8" s="20">
        <f t="shared" si="0"/>
        <v>38021</v>
      </c>
      <c r="U8" s="20">
        <f t="shared" si="0"/>
        <v>5726.0000000000036</v>
      </c>
      <c r="V8" s="20">
        <f t="shared" si="0"/>
        <v>979101.99999999977</v>
      </c>
      <c r="W8" s="21">
        <f>V8/C8*100</f>
        <v>31.806364573415173</v>
      </c>
    </row>
    <row r="9" spans="1:27" s="26" customFormat="1" ht="30" customHeight="1" x14ac:dyDescent="0.25">
      <c r="A9" s="23" t="s">
        <v>46</v>
      </c>
      <c r="B9" s="24">
        <f>SUM(B10:B29)</f>
        <v>2104</v>
      </c>
      <c r="C9" s="24">
        <f t="shared" ref="C9:V9" si="1">SUM(C10:C29)</f>
        <v>1063061</v>
      </c>
      <c r="D9" s="25">
        <f t="shared" si="1"/>
        <v>745771</v>
      </c>
      <c r="E9" s="21">
        <f>D9/C9*100</f>
        <v>70.153170890475707</v>
      </c>
      <c r="F9" s="25">
        <f t="shared" si="1"/>
        <v>733256</v>
      </c>
      <c r="G9" s="24">
        <f t="shared" si="1"/>
        <v>3471</v>
      </c>
      <c r="H9" s="24">
        <f t="shared" ref="H9:J9" si="2">SUM(H10:H29)</f>
        <v>265637.00000000006</v>
      </c>
      <c r="I9" s="24">
        <f t="shared" si="2"/>
        <v>1767.0000000000002</v>
      </c>
      <c r="J9" s="24">
        <f t="shared" si="2"/>
        <v>1452</v>
      </c>
      <c r="K9" s="24">
        <f t="shared" si="1"/>
        <v>111108.99999999999</v>
      </c>
      <c r="L9" s="24">
        <f t="shared" si="1"/>
        <v>1332.9999999999998</v>
      </c>
      <c r="M9" s="24">
        <f t="shared" si="1"/>
        <v>209006</v>
      </c>
      <c r="N9" s="24">
        <f t="shared" si="1"/>
        <v>73552</v>
      </c>
      <c r="O9" s="24">
        <f t="shared" si="1"/>
        <v>2220.9999999999995</v>
      </c>
      <c r="P9" s="24">
        <f t="shared" ref="P9:U9" si="3">SUM(P10:P29)</f>
        <v>10621.000000000002</v>
      </c>
      <c r="Q9" s="24">
        <f t="shared" si="3"/>
        <v>3857.0000000000009</v>
      </c>
      <c r="R9" s="24">
        <f t="shared" si="3"/>
        <v>10416.000000000002</v>
      </c>
      <c r="S9" s="24">
        <f t="shared" si="3"/>
        <v>38814</v>
      </c>
      <c r="T9" s="24">
        <f t="shared" si="3"/>
        <v>11096.999999999998</v>
      </c>
      <c r="U9" s="24">
        <f t="shared" si="3"/>
        <v>1417.9999999999995</v>
      </c>
      <c r="V9" s="24">
        <f t="shared" si="1"/>
        <v>317290</v>
      </c>
      <c r="W9" s="21">
        <f>V9/C9*100</f>
        <v>29.846829109524286</v>
      </c>
      <c r="Z9" s="24"/>
      <c r="AA9" s="24"/>
    </row>
    <row r="10" spans="1:27" ht="15" customHeight="1" x14ac:dyDescent="0.2">
      <c r="A10" s="27" t="s">
        <v>3</v>
      </c>
      <c r="B10" s="5">
        <v>414</v>
      </c>
      <c r="C10" s="5">
        <v>228846.99999999991</v>
      </c>
      <c r="D10" s="5">
        <f t="shared" ref="D10:D29" si="4">F10+U10+T10</f>
        <v>157773.00000000006</v>
      </c>
      <c r="E10" s="28">
        <f>D10/C10*100</f>
        <v>68.94256861571273</v>
      </c>
      <c r="F10" s="5">
        <f t="shared" ref="F10:F29" si="5">SUM(G10:S10)</f>
        <v>155226.00000000006</v>
      </c>
      <c r="G10" s="5">
        <v>682.00000000000023</v>
      </c>
      <c r="H10" s="5">
        <v>53830.000000000065</v>
      </c>
      <c r="I10" s="5">
        <v>428.00000000000023</v>
      </c>
      <c r="J10" s="5">
        <v>278.99999999999994</v>
      </c>
      <c r="K10" s="5">
        <v>23527.999999999993</v>
      </c>
      <c r="L10" s="5">
        <v>266.00000000000006</v>
      </c>
      <c r="M10" s="5">
        <v>45998.000000000015</v>
      </c>
      <c r="N10" s="5">
        <v>16013.999999999993</v>
      </c>
      <c r="O10" s="5">
        <v>463.99999999999977</v>
      </c>
      <c r="P10" s="5">
        <v>2613</v>
      </c>
      <c r="Q10" s="5">
        <v>890.00000000000068</v>
      </c>
      <c r="R10" s="5">
        <v>2254.0000000000005</v>
      </c>
      <c r="S10" s="5">
        <v>7979.9999999999982</v>
      </c>
      <c r="T10" s="29">
        <v>2340.9999999999991</v>
      </c>
      <c r="U10" s="29">
        <v>205.99999999999997</v>
      </c>
      <c r="V10" s="5">
        <v>71074.000000000044</v>
      </c>
      <c r="W10" s="28">
        <f t="shared" ref="W10:W54" si="6">V10/C10*100</f>
        <v>31.057431384287348</v>
      </c>
      <c r="X10" s="5"/>
      <c r="Y10" s="5"/>
    </row>
    <row r="11" spans="1:27" ht="15" customHeight="1" x14ac:dyDescent="0.2">
      <c r="A11" s="27" t="s">
        <v>4</v>
      </c>
      <c r="B11" s="5">
        <v>81</v>
      </c>
      <c r="C11" s="5">
        <v>43354.000000000036</v>
      </c>
      <c r="D11" s="5">
        <f t="shared" si="4"/>
        <v>31702.000000000004</v>
      </c>
      <c r="E11" s="28">
        <f t="shared" ref="E11:E30" si="7">D11/C11*100</f>
        <v>73.123587212252559</v>
      </c>
      <c r="F11" s="5">
        <f t="shared" si="5"/>
        <v>31285.000000000004</v>
      </c>
      <c r="G11" s="5">
        <v>150.00000000000011</v>
      </c>
      <c r="H11" s="5">
        <v>10490.000000000002</v>
      </c>
      <c r="I11" s="5">
        <v>53.000000000000007</v>
      </c>
      <c r="J11" s="5">
        <v>69.000000000000014</v>
      </c>
      <c r="K11" s="5">
        <v>3313.9999999999995</v>
      </c>
      <c r="L11" s="5">
        <v>27.000000000000004</v>
      </c>
      <c r="M11" s="5">
        <v>9661.0000000000018</v>
      </c>
      <c r="N11" s="5">
        <v>5069</v>
      </c>
      <c r="O11" s="5">
        <v>122.99999999999996</v>
      </c>
      <c r="P11" s="5">
        <v>459.99999999999989</v>
      </c>
      <c r="Q11" s="5">
        <v>144.99999999999994</v>
      </c>
      <c r="R11" s="5">
        <v>218.99999999999997</v>
      </c>
      <c r="S11" s="5">
        <v>1505.0000000000002</v>
      </c>
      <c r="T11" s="29">
        <v>381.00000000000017</v>
      </c>
      <c r="U11" s="29">
        <v>36.000000000000007</v>
      </c>
      <c r="V11" s="5">
        <v>11652.000000000004</v>
      </c>
      <c r="W11" s="28">
        <f t="shared" si="6"/>
        <v>26.876412787747366</v>
      </c>
      <c r="X11" s="5"/>
      <c r="Y11" s="5"/>
    </row>
    <row r="12" spans="1:27" ht="15" customHeight="1" x14ac:dyDescent="0.2">
      <c r="A12" s="27" t="s">
        <v>6</v>
      </c>
      <c r="B12" s="5">
        <v>291</v>
      </c>
      <c r="C12" s="5">
        <v>152242.00000000003</v>
      </c>
      <c r="D12" s="5">
        <f t="shared" si="4"/>
        <v>106570</v>
      </c>
      <c r="E12" s="28">
        <f t="shared" si="7"/>
        <v>70.000394109378476</v>
      </c>
      <c r="F12" s="5">
        <f t="shared" si="5"/>
        <v>104722</v>
      </c>
      <c r="G12" s="5">
        <v>556.99999999999966</v>
      </c>
      <c r="H12" s="5">
        <v>37445.999999999985</v>
      </c>
      <c r="I12" s="5">
        <v>220.99999999999997</v>
      </c>
      <c r="J12" s="5">
        <v>226.99999999999997</v>
      </c>
      <c r="K12" s="5">
        <v>16784.999999999996</v>
      </c>
      <c r="L12" s="5">
        <v>298</v>
      </c>
      <c r="M12" s="5">
        <v>29244.000000000011</v>
      </c>
      <c r="N12" s="5">
        <v>9960.9999999999964</v>
      </c>
      <c r="O12" s="5">
        <v>313.99999999999977</v>
      </c>
      <c r="P12" s="5">
        <v>1421.0000000000011</v>
      </c>
      <c r="Q12" s="5">
        <v>630.00000000000011</v>
      </c>
      <c r="R12" s="5">
        <v>1693.0000000000009</v>
      </c>
      <c r="S12" s="5">
        <v>5924.9999999999973</v>
      </c>
      <c r="T12" s="29">
        <v>1656.9999999999998</v>
      </c>
      <c r="U12" s="29">
        <v>190.99999999999986</v>
      </c>
      <c r="V12" s="5">
        <v>45671.999999999956</v>
      </c>
      <c r="W12" s="28">
        <f t="shared" si="6"/>
        <v>29.999605890621478</v>
      </c>
      <c r="X12" s="5"/>
      <c r="Y12" s="5"/>
    </row>
    <row r="13" spans="1:27" ht="15" customHeight="1" x14ac:dyDescent="0.2">
      <c r="A13" s="27" t="s">
        <v>54</v>
      </c>
      <c r="B13" s="5">
        <v>71</v>
      </c>
      <c r="C13" s="5">
        <v>26459</v>
      </c>
      <c r="D13" s="5">
        <f t="shared" si="4"/>
        <v>18907.999999999996</v>
      </c>
      <c r="E13" s="28">
        <f t="shared" si="7"/>
        <v>71.461506481726431</v>
      </c>
      <c r="F13" s="5">
        <f t="shared" si="5"/>
        <v>18543.999999999996</v>
      </c>
      <c r="G13" s="5">
        <v>77.000000000000014</v>
      </c>
      <c r="H13" s="5">
        <v>5444.9999999999982</v>
      </c>
      <c r="I13" s="5">
        <v>35</v>
      </c>
      <c r="J13" s="5">
        <v>42.000000000000021</v>
      </c>
      <c r="K13" s="5">
        <v>2880</v>
      </c>
      <c r="L13" s="5">
        <v>24.000000000000007</v>
      </c>
      <c r="M13" s="5">
        <v>7254.9999999999982</v>
      </c>
      <c r="N13" s="5">
        <v>1246.9999999999995</v>
      </c>
      <c r="O13" s="5">
        <v>36.999999999999993</v>
      </c>
      <c r="P13" s="5">
        <v>178.99999999999989</v>
      </c>
      <c r="Q13" s="5">
        <v>65.999999999999986</v>
      </c>
      <c r="R13" s="5">
        <v>127.99999999999997</v>
      </c>
      <c r="S13" s="5">
        <v>1128.9999999999998</v>
      </c>
      <c r="T13" s="29">
        <v>282.00000000000006</v>
      </c>
      <c r="U13" s="29">
        <v>82</v>
      </c>
      <c r="V13" s="5">
        <v>7551.0000000000009</v>
      </c>
      <c r="W13" s="28">
        <f t="shared" si="6"/>
        <v>28.538493518273562</v>
      </c>
      <c r="X13" s="5"/>
      <c r="Y13" s="5"/>
    </row>
    <row r="14" spans="1:27" ht="15" customHeight="1" x14ac:dyDescent="0.2">
      <c r="A14" s="27" t="s">
        <v>55</v>
      </c>
      <c r="B14" s="5">
        <v>27</v>
      </c>
      <c r="C14" s="5">
        <v>11458</v>
      </c>
      <c r="D14" s="5">
        <f t="shared" si="4"/>
        <v>7499</v>
      </c>
      <c r="E14" s="28">
        <f t="shared" si="7"/>
        <v>65.447722115552452</v>
      </c>
      <c r="F14" s="5">
        <f t="shared" si="5"/>
        <v>7336</v>
      </c>
      <c r="G14" s="5">
        <v>43.000000000000007</v>
      </c>
      <c r="H14" s="5">
        <v>1976.0000000000005</v>
      </c>
      <c r="I14" s="5">
        <v>24</v>
      </c>
      <c r="J14" s="5">
        <v>16</v>
      </c>
      <c r="K14" s="5">
        <v>1594</v>
      </c>
      <c r="L14" s="5">
        <v>10.000000000000004</v>
      </c>
      <c r="M14" s="5">
        <v>2365</v>
      </c>
      <c r="N14" s="5">
        <v>488.00000000000006</v>
      </c>
      <c r="O14" s="5">
        <v>14.999999999999998</v>
      </c>
      <c r="P14" s="5">
        <v>67.999999999999986</v>
      </c>
      <c r="Q14" s="5">
        <v>30.000000000000007</v>
      </c>
      <c r="R14" s="5">
        <v>45.000000000000014</v>
      </c>
      <c r="S14" s="5">
        <v>662.00000000000011</v>
      </c>
      <c r="T14" s="29">
        <v>130.99999999999997</v>
      </c>
      <c r="U14" s="29">
        <v>32</v>
      </c>
      <c r="V14" s="5">
        <v>3959.0000000000005</v>
      </c>
      <c r="W14" s="28">
        <f t="shared" si="6"/>
        <v>34.552277884447555</v>
      </c>
      <c r="X14" s="5"/>
      <c r="Y14" s="5"/>
    </row>
    <row r="15" spans="1:27" ht="15" customHeight="1" x14ac:dyDescent="0.2">
      <c r="A15" s="27" t="s">
        <v>7</v>
      </c>
      <c r="B15" s="5">
        <v>81</v>
      </c>
      <c r="C15" s="5">
        <v>40321</v>
      </c>
      <c r="D15" s="5">
        <f t="shared" si="4"/>
        <v>27860.999999999993</v>
      </c>
      <c r="E15" s="28">
        <f t="shared" si="7"/>
        <v>69.097988641154714</v>
      </c>
      <c r="F15" s="5">
        <f t="shared" si="5"/>
        <v>27277.999999999993</v>
      </c>
      <c r="G15" s="5">
        <v>200.99999999999991</v>
      </c>
      <c r="H15" s="5">
        <v>8409</v>
      </c>
      <c r="I15" s="5">
        <v>80.999999999999972</v>
      </c>
      <c r="J15" s="5">
        <v>55.999999999999986</v>
      </c>
      <c r="K15" s="5">
        <v>4840.9999999999973</v>
      </c>
      <c r="L15" s="5">
        <v>40.999999999999993</v>
      </c>
      <c r="M15" s="5">
        <v>8888.9999999999982</v>
      </c>
      <c r="N15" s="5">
        <v>2454.9999999999995</v>
      </c>
      <c r="O15" s="5">
        <v>74</v>
      </c>
      <c r="P15" s="5">
        <v>362.00000000000011</v>
      </c>
      <c r="Q15" s="5">
        <v>139</v>
      </c>
      <c r="R15" s="5">
        <v>228</v>
      </c>
      <c r="S15" s="5">
        <v>1502.0000000000002</v>
      </c>
      <c r="T15" s="29">
        <v>520.99999999999989</v>
      </c>
      <c r="U15" s="29">
        <v>62.000000000000007</v>
      </c>
      <c r="V15" s="5">
        <v>12459.999999999996</v>
      </c>
      <c r="W15" s="28">
        <f t="shared" si="6"/>
        <v>30.902011358845254</v>
      </c>
      <c r="X15" s="5"/>
      <c r="Y15" s="5"/>
    </row>
    <row r="16" spans="1:27" ht="15" customHeight="1" x14ac:dyDescent="0.2">
      <c r="A16" s="27" t="s">
        <v>56</v>
      </c>
      <c r="B16" s="5">
        <v>43</v>
      </c>
      <c r="C16" s="5">
        <v>19189.999999999996</v>
      </c>
      <c r="D16" s="5">
        <f t="shared" si="4"/>
        <v>13820</v>
      </c>
      <c r="E16" s="28">
        <f t="shared" si="7"/>
        <v>72.016675351745718</v>
      </c>
      <c r="F16" s="5">
        <f t="shared" si="5"/>
        <v>13470</v>
      </c>
      <c r="G16" s="5">
        <v>68.000000000000014</v>
      </c>
      <c r="H16" s="5">
        <v>4569</v>
      </c>
      <c r="I16" s="5">
        <v>39.999999999999993</v>
      </c>
      <c r="J16" s="5">
        <v>30.999999999999996</v>
      </c>
      <c r="K16" s="5">
        <v>1957</v>
      </c>
      <c r="L16" s="5">
        <v>13</v>
      </c>
      <c r="M16" s="5">
        <v>4041.0000000000009</v>
      </c>
      <c r="N16" s="5">
        <v>1382.0000000000002</v>
      </c>
      <c r="O16" s="5">
        <v>69.000000000000014</v>
      </c>
      <c r="P16" s="5">
        <v>154.99999999999997</v>
      </c>
      <c r="Q16" s="5">
        <v>85.999999999999986</v>
      </c>
      <c r="R16" s="5">
        <v>147</v>
      </c>
      <c r="S16" s="5">
        <v>911.99999999999989</v>
      </c>
      <c r="T16" s="29">
        <v>302.99999999999994</v>
      </c>
      <c r="U16" s="29">
        <v>47.000000000000007</v>
      </c>
      <c r="V16" s="5">
        <v>5370.0000000000009</v>
      </c>
      <c r="W16" s="28">
        <f t="shared" si="6"/>
        <v>27.98332464825431</v>
      </c>
      <c r="X16" s="5"/>
      <c r="Y16" s="5"/>
    </row>
    <row r="17" spans="1:27" ht="15" customHeight="1" x14ac:dyDescent="0.2">
      <c r="A17" s="27" t="s">
        <v>57</v>
      </c>
      <c r="B17" s="5">
        <v>160</v>
      </c>
      <c r="C17" s="5">
        <v>87701.000000000029</v>
      </c>
      <c r="D17" s="5">
        <f t="shared" si="4"/>
        <v>62019.000000000015</v>
      </c>
      <c r="E17" s="28">
        <f t="shared" si="7"/>
        <v>70.716411443427091</v>
      </c>
      <c r="F17" s="5">
        <f t="shared" si="5"/>
        <v>61113.000000000015</v>
      </c>
      <c r="G17" s="5">
        <v>291.99999999999994</v>
      </c>
      <c r="H17" s="5">
        <v>25354.000000000011</v>
      </c>
      <c r="I17" s="5">
        <v>159.00000000000006</v>
      </c>
      <c r="J17" s="5">
        <v>122.99999999999997</v>
      </c>
      <c r="K17" s="5">
        <v>9265.0000000000018</v>
      </c>
      <c r="L17" s="5">
        <v>150.99999999999991</v>
      </c>
      <c r="M17" s="5">
        <v>14661.000000000002</v>
      </c>
      <c r="N17" s="5">
        <v>5803.0000000000009</v>
      </c>
      <c r="O17" s="5">
        <v>218.99999999999989</v>
      </c>
      <c r="P17" s="5">
        <v>984.99999999999989</v>
      </c>
      <c r="Q17" s="5">
        <v>289.99999999999994</v>
      </c>
      <c r="R17" s="5">
        <v>971.99999999999989</v>
      </c>
      <c r="S17" s="5">
        <v>2839</v>
      </c>
      <c r="T17" s="29">
        <v>808.00000000000023</v>
      </c>
      <c r="U17" s="29">
        <v>98</v>
      </c>
      <c r="V17" s="5">
        <v>25682.000000000007</v>
      </c>
      <c r="W17" s="28">
        <f t="shared" si="6"/>
        <v>29.283588556572898</v>
      </c>
      <c r="X17" s="5"/>
      <c r="Y17" s="5"/>
    </row>
    <row r="18" spans="1:27" ht="15" customHeight="1" x14ac:dyDescent="0.2">
      <c r="A18" s="27" t="s">
        <v>8</v>
      </c>
      <c r="B18" s="5">
        <v>61</v>
      </c>
      <c r="C18" s="5">
        <v>31041</v>
      </c>
      <c r="D18" s="5">
        <f t="shared" si="4"/>
        <v>22733</v>
      </c>
      <c r="E18" s="28">
        <f t="shared" si="7"/>
        <v>73.235398344125514</v>
      </c>
      <c r="F18" s="5">
        <f t="shared" si="5"/>
        <v>22353</v>
      </c>
      <c r="G18" s="5">
        <v>54.999999999999993</v>
      </c>
      <c r="H18" s="5">
        <v>8030.0000000000018</v>
      </c>
      <c r="I18" s="5">
        <v>23.000000000000004</v>
      </c>
      <c r="J18" s="5">
        <v>29.999999999999986</v>
      </c>
      <c r="K18" s="5">
        <v>2328.0000000000005</v>
      </c>
      <c r="L18" s="5">
        <v>23</v>
      </c>
      <c r="M18" s="5">
        <v>6696.9999999999973</v>
      </c>
      <c r="N18" s="5">
        <v>3410</v>
      </c>
      <c r="O18" s="5">
        <v>42.999999999999993</v>
      </c>
      <c r="P18" s="5">
        <v>251.00000000000009</v>
      </c>
      <c r="Q18" s="5">
        <v>70.999999999999957</v>
      </c>
      <c r="R18" s="5">
        <v>213.00000000000003</v>
      </c>
      <c r="S18" s="5">
        <v>1179</v>
      </c>
      <c r="T18" s="29">
        <v>338.00000000000006</v>
      </c>
      <c r="U18" s="29">
        <v>41.999999999999993</v>
      </c>
      <c r="V18" s="5">
        <v>8307.9999999999982</v>
      </c>
      <c r="W18" s="28">
        <f t="shared" si="6"/>
        <v>26.764601655874483</v>
      </c>
      <c r="X18" s="5"/>
      <c r="Y18" s="5"/>
    </row>
    <row r="19" spans="1:27" ht="15" customHeight="1" x14ac:dyDescent="0.2">
      <c r="A19" s="27" t="s">
        <v>106</v>
      </c>
      <c r="B19" s="5">
        <v>85</v>
      </c>
      <c r="C19" s="5">
        <v>47596.999999999985</v>
      </c>
      <c r="D19" s="5">
        <f t="shared" si="4"/>
        <v>31008.999999999993</v>
      </c>
      <c r="E19" s="28">
        <f t="shared" si="7"/>
        <v>65.149064016639713</v>
      </c>
      <c r="F19" s="5">
        <f t="shared" si="5"/>
        <v>30258.999999999993</v>
      </c>
      <c r="G19" s="5">
        <v>234.00000000000009</v>
      </c>
      <c r="H19" s="5">
        <v>9084.9999999999964</v>
      </c>
      <c r="I19" s="5">
        <v>138.00000000000003</v>
      </c>
      <c r="J19" s="5">
        <v>85.000000000000043</v>
      </c>
      <c r="K19" s="5">
        <v>5224.9999999999991</v>
      </c>
      <c r="L19" s="5">
        <v>80</v>
      </c>
      <c r="M19" s="5">
        <v>7945.9999999999982</v>
      </c>
      <c r="N19" s="5">
        <v>4107</v>
      </c>
      <c r="O19" s="5">
        <v>99.000000000000057</v>
      </c>
      <c r="P19" s="5">
        <v>479.99999999999994</v>
      </c>
      <c r="Q19" s="5">
        <v>314</v>
      </c>
      <c r="R19" s="5">
        <v>669.00000000000023</v>
      </c>
      <c r="S19" s="5">
        <v>1796.9999999999995</v>
      </c>
      <c r="T19" s="29">
        <v>702.99999999999977</v>
      </c>
      <c r="U19" s="29">
        <v>47.000000000000014</v>
      </c>
      <c r="V19" s="5">
        <v>16587.999999999996</v>
      </c>
      <c r="W19" s="28">
        <f t="shared" si="6"/>
        <v>34.850935983360301</v>
      </c>
      <c r="X19" s="5"/>
      <c r="Y19" s="5"/>
    </row>
    <row r="20" spans="1:27" ht="15" customHeight="1" x14ac:dyDescent="0.2">
      <c r="A20" s="6" t="s">
        <v>92</v>
      </c>
      <c r="B20" s="5">
        <v>94</v>
      </c>
      <c r="C20" s="5">
        <v>49673.000000000015</v>
      </c>
      <c r="D20" s="5">
        <f t="shared" si="4"/>
        <v>36701.999999999993</v>
      </c>
      <c r="E20" s="28">
        <f t="shared" si="7"/>
        <v>73.887222434723057</v>
      </c>
      <c r="F20" s="5">
        <f t="shared" si="5"/>
        <v>36195.999999999993</v>
      </c>
      <c r="G20" s="5">
        <v>168</v>
      </c>
      <c r="H20" s="5">
        <v>15993.999999999996</v>
      </c>
      <c r="I20" s="5">
        <v>94.000000000000014</v>
      </c>
      <c r="J20" s="5">
        <v>89.000000000000014</v>
      </c>
      <c r="K20" s="5">
        <v>5332.9999999999982</v>
      </c>
      <c r="L20" s="5">
        <v>78.000000000000014</v>
      </c>
      <c r="M20" s="5">
        <v>8559.0000000000018</v>
      </c>
      <c r="N20" s="5">
        <v>3154</v>
      </c>
      <c r="O20" s="5">
        <v>109.99999999999999</v>
      </c>
      <c r="P20" s="5">
        <v>517</v>
      </c>
      <c r="Q20" s="5">
        <v>131.00000000000006</v>
      </c>
      <c r="R20" s="5">
        <v>450.00000000000006</v>
      </c>
      <c r="S20" s="5">
        <v>1519.0000000000002</v>
      </c>
      <c r="T20" s="29">
        <v>454</v>
      </c>
      <c r="U20" s="29">
        <v>52.000000000000014</v>
      </c>
      <c r="V20" s="5">
        <v>12971.000000000005</v>
      </c>
      <c r="W20" s="28">
        <f t="shared" si="6"/>
        <v>26.112777565276911</v>
      </c>
      <c r="X20" s="5"/>
      <c r="Y20" s="5"/>
    </row>
    <row r="21" spans="1:27" ht="15" customHeight="1" x14ac:dyDescent="0.2">
      <c r="A21" s="27" t="s">
        <v>93</v>
      </c>
      <c r="B21" s="5">
        <v>43</v>
      </c>
      <c r="C21" s="5">
        <v>15550.999999999998</v>
      </c>
      <c r="D21" s="5">
        <f t="shared" si="4"/>
        <v>10841</v>
      </c>
      <c r="E21" s="28">
        <f t="shared" si="7"/>
        <v>69.712558677898542</v>
      </c>
      <c r="F21" s="5">
        <f t="shared" si="5"/>
        <v>10603</v>
      </c>
      <c r="G21" s="5">
        <v>43.000000000000007</v>
      </c>
      <c r="H21" s="5">
        <v>2664.9999999999991</v>
      </c>
      <c r="I21" s="5">
        <v>35</v>
      </c>
      <c r="J21" s="5">
        <v>26</v>
      </c>
      <c r="K21" s="5">
        <v>2279.0000000000005</v>
      </c>
      <c r="L21" s="5">
        <v>5.0000000000000009</v>
      </c>
      <c r="M21" s="5">
        <v>3997.9999999999995</v>
      </c>
      <c r="N21" s="5">
        <v>684</v>
      </c>
      <c r="O21" s="5">
        <v>20.000000000000004</v>
      </c>
      <c r="P21" s="5">
        <v>85.000000000000043</v>
      </c>
      <c r="Q21" s="5">
        <v>58</v>
      </c>
      <c r="R21" s="5">
        <v>62.000000000000014</v>
      </c>
      <c r="S21" s="5">
        <v>643</v>
      </c>
      <c r="T21" s="29">
        <v>204.00000000000003</v>
      </c>
      <c r="U21" s="29">
        <v>33.999999999999986</v>
      </c>
      <c r="V21" s="5">
        <v>4710.0000000000009</v>
      </c>
      <c r="W21" s="28">
        <f t="shared" si="6"/>
        <v>30.287441322101483</v>
      </c>
      <c r="X21" s="5"/>
      <c r="Y21" s="5"/>
    </row>
    <row r="22" spans="1:27" ht="15" customHeight="1" x14ac:dyDescent="0.2">
      <c r="A22" s="27" t="s">
        <v>94</v>
      </c>
      <c r="B22" s="5">
        <v>103</v>
      </c>
      <c r="C22" s="5">
        <v>55540.000000000022</v>
      </c>
      <c r="D22" s="5">
        <f t="shared" si="4"/>
        <v>39801</v>
      </c>
      <c r="E22" s="28">
        <f t="shared" si="7"/>
        <v>71.661865322290211</v>
      </c>
      <c r="F22" s="5">
        <f t="shared" si="5"/>
        <v>39227</v>
      </c>
      <c r="G22" s="5">
        <v>144.99999999999997</v>
      </c>
      <c r="H22" s="5">
        <v>15913.000000000002</v>
      </c>
      <c r="I22" s="5">
        <v>94.999999999999972</v>
      </c>
      <c r="J22" s="5">
        <v>60.999999999999986</v>
      </c>
      <c r="K22" s="5">
        <v>5236</v>
      </c>
      <c r="L22" s="5">
        <v>45.999999999999993</v>
      </c>
      <c r="M22" s="5">
        <v>10187.999999999998</v>
      </c>
      <c r="N22" s="5">
        <v>3826.0000000000009</v>
      </c>
      <c r="O22" s="5">
        <v>125.00000000000009</v>
      </c>
      <c r="P22" s="5">
        <v>829.00000000000011</v>
      </c>
      <c r="Q22" s="5">
        <v>191.00000000000003</v>
      </c>
      <c r="R22" s="5">
        <v>693.99999999999989</v>
      </c>
      <c r="S22" s="5">
        <v>1878</v>
      </c>
      <c r="T22" s="29">
        <v>515.99999999999977</v>
      </c>
      <c r="U22" s="29">
        <v>57.999999999999986</v>
      </c>
      <c r="V22" s="5">
        <v>15738.999999999993</v>
      </c>
      <c r="W22" s="28">
        <f t="shared" si="6"/>
        <v>28.338134677709736</v>
      </c>
      <c r="X22" s="5"/>
      <c r="Y22" s="5"/>
    </row>
    <row r="23" spans="1:27" ht="15" customHeight="1" x14ac:dyDescent="0.2">
      <c r="A23" s="27" t="s">
        <v>95</v>
      </c>
      <c r="B23" s="5">
        <v>79</v>
      </c>
      <c r="C23" s="5">
        <v>42357.000000000022</v>
      </c>
      <c r="D23" s="5">
        <f t="shared" si="4"/>
        <v>31629.000000000007</v>
      </c>
      <c r="E23" s="28">
        <f t="shared" si="7"/>
        <v>74.672427225724178</v>
      </c>
      <c r="F23" s="5">
        <f t="shared" si="5"/>
        <v>31266.000000000007</v>
      </c>
      <c r="G23" s="5">
        <v>95</v>
      </c>
      <c r="H23" s="5">
        <v>14187.000000000004</v>
      </c>
      <c r="I23" s="5">
        <v>54</v>
      </c>
      <c r="J23" s="5">
        <v>50.000000000000014</v>
      </c>
      <c r="K23" s="5">
        <v>4154.9999999999991</v>
      </c>
      <c r="L23" s="5">
        <v>46.999999999999979</v>
      </c>
      <c r="M23" s="5">
        <v>7461.0000000000027</v>
      </c>
      <c r="N23" s="5">
        <v>2916</v>
      </c>
      <c r="O23" s="5">
        <v>98</v>
      </c>
      <c r="P23" s="5">
        <v>411</v>
      </c>
      <c r="Q23" s="5">
        <v>90.999999999999972</v>
      </c>
      <c r="R23" s="5">
        <v>409.99999999999994</v>
      </c>
      <c r="S23" s="5">
        <v>1291.0000000000005</v>
      </c>
      <c r="T23" s="29">
        <v>325</v>
      </c>
      <c r="U23" s="29">
        <v>38</v>
      </c>
      <c r="V23" s="5">
        <v>10728.000000000002</v>
      </c>
      <c r="W23" s="28">
        <f t="shared" si="6"/>
        <v>25.32757277427579</v>
      </c>
      <c r="X23" s="5"/>
      <c r="Y23" s="5"/>
    </row>
    <row r="24" spans="1:27" ht="15" customHeight="1" x14ac:dyDescent="0.2">
      <c r="A24" s="27" t="s">
        <v>96</v>
      </c>
      <c r="B24" s="5">
        <v>79</v>
      </c>
      <c r="C24" s="5">
        <v>41489.000000000022</v>
      </c>
      <c r="D24" s="5">
        <f t="shared" si="4"/>
        <v>31207.000000000007</v>
      </c>
      <c r="E24" s="28">
        <f t="shared" si="7"/>
        <v>75.217527537419542</v>
      </c>
      <c r="F24" s="5">
        <f t="shared" si="5"/>
        <v>30887.000000000007</v>
      </c>
      <c r="G24" s="5">
        <v>46.999999999999993</v>
      </c>
      <c r="H24" s="5">
        <v>14417.000000000004</v>
      </c>
      <c r="I24" s="5">
        <v>85</v>
      </c>
      <c r="J24" s="5">
        <v>43.999999999999979</v>
      </c>
      <c r="K24" s="5">
        <v>4766</v>
      </c>
      <c r="L24" s="5">
        <v>85.999999999999986</v>
      </c>
      <c r="M24" s="5">
        <v>7007.0000000000018</v>
      </c>
      <c r="N24" s="5">
        <v>2557.0000000000009</v>
      </c>
      <c r="O24" s="5">
        <v>109</v>
      </c>
      <c r="P24" s="5">
        <v>406.00000000000006</v>
      </c>
      <c r="Q24" s="5">
        <v>65.000000000000043</v>
      </c>
      <c r="R24" s="5">
        <v>198.99999999999997</v>
      </c>
      <c r="S24" s="5">
        <v>1099</v>
      </c>
      <c r="T24" s="29">
        <v>291.99999999999994</v>
      </c>
      <c r="U24" s="29">
        <v>28.000000000000014</v>
      </c>
      <c r="V24" s="5">
        <v>10282</v>
      </c>
      <c r="W24" s="28">
        <f t="shared" si="6"/>
        <v>24.782472462580429</v>
      </c>
      <c r="X24" s="5"/>
      <c r="Y24" s="5"/>
    </row>
    <row r="25" spans="1:27" ht="15" customHeight="1" x14ac:dyDescent="0.2">
      <c r="A25" s="27" t="s">
        <v>97</v>
      </c>
      <c r="B25" s="5">
        <v>16</v>
      </c>
      <c r="C25" s="5">
        <v>4375.0000000000009</v>
      </c>
      <c r="D25" s="5">
        <f t="shared" si="4"/>
        <v>3008</v>
      </c>
      <c r="E25" s="28">
        <f t="shared" si="7"/>
        <v>68.7542857142857</v>
      </c>
      <c r="F25" s="5">
        <f t="shared" si="5"/>
        <v>2957</v>
      </c>
      <c r="G25" s="5">
        <v>8.0000000000000018</v>
      </c>
      <c r="H25" s="5">
        <v>572</v>
      </c>
      <c r="I25" s="5">
        <v>9</v>
      </c>
      <c r="J25" s="5">
        <v>2.9999999999999996</v>
      </c>
      <c r="K25" s="5">
        <v>375</v>
      </c>
      <c r="L25" s="5">
        <v>3.9999999999999996</v>
      </c>
      <c r="M25" s="5">
        <v>1503</v>
      </c>
      <c r="N25" s="5">
        <v>278.00000000000006</v>
      </c>
      <c r="O25" s="5">
        <v>5</v>
      </c>
      <c r="P25" s="5">
        <v>32.999999999999993</v>
      </c>
      <c r="Q25" s="5">
        <v>14</v>
      </c>
      <c r="R25" s="5">
        <v>4</v>
      </c>
      <c r="S25" s="5">
        <v>149.00000000000003</v>
      </c>
      <c r="T25" s="29">
        <v>45</v>
      </c>
      <c r="U25" s="29">
        <v>6</v>
      </c>
      <c r="V25" s="5">
        <v>1367</v>
      </c>
      <c r="W25" s="28">
        <f t="shared" si="6"/>
        <v>31.245714285714278</v>
      </c>
      <c r="X25" s="5"/>
      <c r="Y25" s="5"/>
    </row>
    <row r="26" spans="1:27" ht="15" customHeight="1" x14ac:dyDescent="0.2">
      <c r="A26" s="27" t="s">
        <v>98</v>
      </c>
      <c r="B26" s="5">
        <v>14</v>
      </c>
      <c r="C26" s="5">
        <v>5193</v>
      </c>
      <c r="D26" s="5">
        <f t="shared" si="4"/>
        <v>3578</v>
      </c>
      <c r="E26" s="28">
        <f t="shared" si="7"/>
        <v>68.900442903909109</v>
      </c>
      <c r="F26" s="5">
        <f t="shared" si="5"/>
        <v>3523</v>
      </c>
      <c r="G26" s="5">
        <v>14.000000000000004</v>
      </c>
      <c r="H26" s="5">
        <v>1391</v>
      </c>
      <c r="I26" s="5">
        <v>4</v>
      </c>
      <c r="J26" s="5">
        <v>9</v>
      </c>
      <c r="K26" s="5">
        <v>585</v>
      </c>
      <c r="L26" s="5">
        <v>7.0000000000000018</v>
      </c>
      <c r="M26" s="5">
        <v>1155.9999999999998</v>
      </c>
      <c r="N26" s="5">
        <v>151</v>
      </c>
      <c r="O26" s="5">
        <v>4.0000000000000009</v>
      </c>
      <c r="P26" s="5">
        <v>35</v>
      </c>
      <c r="Q26" s="5">
        <v>9</v>
      </c>
      <c r="R26" s="5">
        <v>14.000000000000004</v>
      </c>
      <c r="S26" s="5">
        <v>144</v>
      </c>
      <c r="T26" s="29">
        <v>43</v>
      </c>
      <c r="U26" s="29">
        <v>12</v>
      </c>
      <c r="V26" s="5">
        <v>1615</v>
      </c>
      <c r="W26" s="28">
        <f t="shared" si="6"/>
        <v>31.099557096090891</v>
      </c>
      <c r="X26" s="5"/>
      <c r="Y26" s="5"/>
    </row>
    <row r="27" spans="1:27" ht="15" customHeight="1" x14ac:dyDescent="0.2">
      <c r="A27" s="27" t="s">
        <v>99</v>
      </c>
      <c r="B27" s="5">
        <v>89</v>
      </c>
      <c r="C27" s="5">
        <v>46269.999999999978</v>
      </c>
      <c r="D27" s="5">
        <f t="shared" si="4"/>
        <v>33977.999999999993</v>
      </c>
      <c r="E27" s="28">
        <f t="shared" si="7"/>
        <v>73.434190620272332</v>
      </c>
      <c r="F27" s="5">
        <f t="shared" si="5"/>
        <v>33494.999999999993</v>
      </c>
      <c r="G27" s="5">
        <v>159.00000000000003</v>
      </c>
      <c r="H27" s="5">
        <v>14051.999999999993</v>
      </c>
      <c r="I27" s="5">
        <v>59.000000000000007</v>
      </c>
      <c r="J27" s="5">
        <v>43.999999999999993</v>
      </c>
      <c r="K27" s="5">
        <v>3830.0000000000005</v>
      </c>
      <c r="L27" s="5">
        <v>57</v>
      </c>
      <c r="M27" s="5">
        <v>8431.0000000000018</v>
      </c>
      <c r="N27" s="5">
        <v>4360</v>
      </c>
      <c r="O27" s="5">
        <v>91.999999999999943</v>
      </c>
      <c r="P27" s="5">
        <v>380.00000000000006</v>
      </c>
      <c r="Q27" s="5">
        <v>171.99999999999997</v>
      </c>
      <c r="R27" s="5">
        <v>315.99999999999994</v>
      </c>
      <c r="S27" s="5">
        <v>1543.0000000000002</v>
      </c>
      <c r="T27" s="29">
        <v>442.00000000000011</v>
      </c>
      <c r="U27" s="29">
        <v>40.999999999999993</v>
      </c>
      <c r="V27" s="5">
        <v>12292.000000000002</v>
      </c>
      <c r="W27" s="28">
        <f t="shared" si="6"/>
        <v>26.5658093797277</v>
      </c>
      <c r="X27" s="5"/>
      <c r="Y27" s="5"/>
    </row>
    <row r="28" spans="1:27" ht="15" customHeight="1" x14ac:dyDescent="0.2">
      <c r="A28" s="27" t="s">
        <v>100</v>
      </c>
      <c r="B28" s="5">
        <v>247</v>
      </c>
      <c r="C28" s="5">
        <v>105670</v>
      </c>
      <c r="D28" s="5">
        <f t="shared" si="4"/>
        <v>69238.999999999985</v>
      </c>
      <c r="E28" s="28">
        <f t="shared" si="7"/>
        <v>65.523800511024874</v>
      </c>
      <c r="F28" s="5">
        <f t="shared" si="5"/>
        <v>67753.999999999985</v>
      </c>
      <c r="G28" s="5">
        <v>387</v>
      </c>
      <c r="H28" s="5">
        <v>20634</v>
      </c>
      <c r="I28" s="5">
        <v>121.00000000000009</v>
      </c>
      <c r="J28" s="5">
        <v>143.00000000000006</v>
      </c>
      <c r="K28" s="5">
        <v>11634.000000000004</v>
      </c>
      <c r="L28" s="5">
        <v>61.999999999999979</v>
      </c>
      <c r="M28" s="5">
        <v>21656.999999999985</v>
      </c>
      <c r="N28" s="5">
        <v>5249.9999999999973</v>
      </c>
      <c r="O28" s="5">
        <v>185.99999999999997</v>
      </c>
      <c r="P28" s="5">
        <v>911.00000000000011</v>
      </c>
      <c r="Q28" s="5">
        <v>438.99999999999994</v>
      </c>
      <c r="R28" s="5">
        <v>1663.0000000000002</v>
      </c>
      <c r="S28" s="5">
        <v>4666.9999999999991</v>
      </c>
      <c r="T28" s="29">
        <v>1215.9999999999998</v>
      </c>
      <c r="U28" s="29">
        <v>268.99999999999989</v>
      </c>
      <c r="V28" s="5">
        <v>36430.999999999971</v>
      </c>
      <c r="W28" s="28">
        <f t="shared" si="6"/>
        <v>34.476199488975084</v>
      </c>
      <c r="X28" s="5"/>
      <c r="Y28" s="5"/>
    </row>
    <row r="29" spans="1:27" ht="15" customHeight="1" x14ac:dyDescent="0.2">
      <c r="A29" s="27" t="s">
        <v>101</v>
      </c>
      <c r="B29" s="5">
        <v>26</v>
      </c>
      <c r="C29" s="5">
        <v>8733</v>
      </c>
      <c r="D29" s="5">
        <f t="shared" si="4"/>
        <v>5894</v>
      </c>
      <c r="E29" s="28">
        <f t="shared" si="7"/>
        <v>67.491125615481508</v>
      </c>
      <c r="F29" s="5">
        <f t="shared" si="5"/>
        <v>5762</v>
      </c>
      <c r="G29" s="5">
        <v>46.000000000000007</v>
      </c>
      <c r="H29" s="5">
        <v>1178</v>
      </c>
      <c r="I29" s="5">
        <v>9</v>
      </c>
      <c r="J29" s="5">
        <v>24.999999999999996</v>
      </c>
      <c r="K29" s="5">
        <v>1199</v>
      </c>
      <c r="L29" s="5">
        <v>8</v>
      </c>
      <c r="M29" s="5">
        <v>2289</v>
      </c>
      <c r="N29" s="5">
        <v>440</v>
      </c>
      <c r="O29" s="5">
        <v>15.000000000000002</v>
      </c>
      <c r="P29" s="5">
        <v>40</v>
      </c>
      <c r="Q29" s="5">
        <v>26</v>
      </c>
      <c r="R29" s="5">
        <v>36</v>
      </c>
      <c r="S29" s="5">
        <v>451.00000000000023</v>
      </c>
      <c r="T29" s="29">
        <v>95.000000000000014</v>
      </c>
      <c r="U29" s="29">
        <v>37.000000000000007</v>
      </c>
      <c r="V29" s="5">
        <v>2839</v>
      </c>
      <c r="W29" s="28">
        <f t="shared" si="6"/>
        <v>32.508874384518492</v>
      </c>
      <c r="X29" s="5"/>
      <c r="Y29" s="5"/>
    </row>
    <row r="30" spans="1:27" s="26" customFormat="1" ht="30" customHeight="1" x14ac:dyDescent="0.25">
      <c r="A30" s="23" t="s">
        <v>43</v>
      </c>
      <c r="B30" s="24">
        <v>1259</v>
      </c>
      <c r="C30" s="24">
        <v>577492.99999999988</v>
      </c>
      <c r="D30" s="25">
        <f>SUM(D31:D45)</f>
        <v>407822.99999999994</v>
      </c>
      <c r="E30" s="21">
        <f t="shared" si="7"/>
        <v>70.619557293335163</v>
      </c>
      <c r="F30" s="25">
        <f t="shared" ref="F30" si="8">SUM(F31:F45)</f>
        <v>399845.99999999994</v>
      </c>
      <c r="G30" s="24">
        <v>1729.0000000000005</v>
      </c>
      <c r="H30" s="24">
        <v>124171.99999999994</v>
      </c>
      <c r="I30" s="24">
        <v>639.00000000000011</v>
      </c>
      <c r="J30" s="24">
        <v>1059.0000000000014</v>
      </c>
      <c r="K30" s="24">
        <v>73332.999999999956</v>
      </c>
      <c r="L30" s="24">
        <v>458.00000000000017</v>
      </c>
      <c r="M30" s="24">
        <v>119080.99999999984</v>
      </c>
      <c r="N30" s="24">
        <v>41388.999999999854</v>
      </c>
      <c r="O30" s="24">
        <v>863.00000000000057</v>
      </c>
      <c r="P30" s="24">
        <v>8510.9999999999927</v>
      </c>
      <c r="Q30" s="24">
        <v>2592.0000000000005</v>
      </c>
      <c r="R30" s="24">
        <v>4577</v>
      </c>
      <c r="S30" s="24">
        <v>21443.000000000029</v>
      </c>
      <c r="T30" s="30">
        <v>7029.00000000001</v>
      </c>
      <c r="U30" s="30">
        <v>948.00000000000205</v>
      </c>
      <c r="V30" s="24">
        <v>169669.99999999959</v>
      </c>
      <c r="W30" s="21">
        <f t="shared" si="6"/>
        <v>29.380442706664777</v>
      </c>
      <c r="Z30" s="24"/>
      <c r="AA30" s="24"/>
    </row>
    <row r="31" spans="1:27" ht="15" customHeight="1" x14ac:dyDescent="0.2">
      <c r="A31" s="27" t="s">
        <v>12</v>
      </c>
      <c r="B31" s="5">
        <v>365</v>
      </c>
      <c r="C31" s="5">
        <v>185687.9999999998</v>
      </c>
      <c r="D31" s="5">
        <f t="shared" ref="D31:D45" si="9">F31+U31+T31</f>
        <v>128286.99999999999</v>
      </c>
      <c r="E31" s="28">
        <f t="shared" ref="E31:E46" si="10">D31/C31*100</f>
        <v>69.087393908060903</v>
      </c>
      <c r="F31" s="5">
        <f t="shared" ref="F31:F45" si="11">SUM(G31:S31)</f>
        <v>125920.99999999999</v>
      </c>
      <c r="G31" s="5">
        <v>685.00000000000023</v>
      </c>
      <c r="H31" s="5">
        <v>42860.999999999964</v>
      </c>
      <c r="I31" s="5">
        <v>215.99999999999972</v>
      </c>
      <c r="J31" s="5">
        <v>308.00000000000006</v>
      </c>
      <c r="K31" s="5">
        <v>20402.999999999993</v>
      </c>
      <c r="L31" s="5">
        <v>148.99999999999997</v>
      </c>
      <c r="M31" s="5">
        <v>35541.000000000015</v>
      </c>
      <c r="N31" s="5">
        <v>14668.000000000011</v>
      </c>
      <c r="O31" s="5">
        <v>321.99999999999989</v>
      </c>
      <c r="P31" s="5">
        <v>1475.9999999999993</v>
      </c>
      <c r="Q31" s="5">
        <v>789.99999999999989</v>
      </c>
      <c r="R31" s="5">
        <v>1495.9999999999991</v>
      </c>
      <c r="S31" s="5">
        <v>7005.9999999999991</v>
      </c>
      <c r="T31" s="29">
        <v>2184.0000000000018</v>
      </c>
      <c r="U31" s="29">
        <v>181.99999999999994</v>
      </c>
      <c r="V31" s="5">
        <v>57400.999999999949</v>
      </c>
      <c r="W31" s="28">
        <f t="shared" si="6"/>
        <v>30.912606091939171</v>
      </c>
      <c r="Z31" s="5"/>
      <c r="AA31" s="5"/>
    </row>
    <row r="32" spans="1:27" ht="15" customHeight="1" x14ac:dyDescent="0.2">
      <c r="A32" s="27" t="s">
        <v>13</v>
      </c>
      <c r="B32" s="5">
        <v>130</v>
      </c>
      <c r="C32" s="5">
        <v>58066.999999999971</v>
      </c>
      <c r="D32" s="5">
        <f t="shared" si="9"/>
        <v>42475.999999999985</v>
      </c>
      <c r="E32" s="28">
        <f t="shared" si="10"/>
        <v>73.149981917440215</v>
      </c>
      <c r="F32" s="5">
        <f t="shared" si="11"/>
        <v>41688.999999999985</v>
      </c>
      <c r="G32" s="5">
        <v>144.00000000000003</v>
      </c>
      <c r="H32" s="5">
        <v>14111.999999999993</v>
      </c>
      <c r="I32" s="5">
        <v>62.000000000000021</v>
      </c>
      <c r="J32" s="5">
        <v>130.00000000000003</v>
      </c>
      <c r="K32" s="5">
        <v>11613.999999999996</v>
      </c>
      <c r="L32" s="5">
        <v>48</v>
      </c>
      <c r="M32" s="5">
        <v>9903</v>
      </c>
      <c r="N32" s="5">
        <v>2303.0000000000009</v>
      </c>
      <c r="O32" s="5">
        <v>83.999999999999972</v>
      </c>
      <c r="P32" s="5">
        <v>1284.0000000000007</v>
      </c>
      <c r="Q32" s="5">
        <v>200</v>
      </c>
      <c r="R32" s="5">
        <v>344.99999999999994</v>
      </c>
      <c r="S32" s="5">
        <v>1460.0000000000007</v>
      </c>
      <c r="T32" s="29">
        <v>662.99999999999989</v>
      </c>
      <c r="U32" s="29">
        <v>124.00000000000003</v>
      </c>
      <c r="V32" s="5">
        <v>15590.999999999998</v>
      </c>
      <c r="W32" s="28">
        <f t="shared" si="6"/>
        <v>26.850018082559814</v>
      </c>
      <c r="Z32" s="5"/>
      <c r="AA32" s="5"/>
    </row>
    <row r="33" spans="1:27" ht="15" customHeight="1" x14ac:dyDescent="0.2">
      <c r="A33" s="27" t="s">
        <v>14</v>
      </c>
      <c r="B33" s="5">
        <v>123</v>
      </c>
      <c r="C33" s="5">
        <v>55006.999999999971</v>
      </c>
      <c r="D33" s="5">
        <f t="shared" si="9"/>
        <v>40649</v>
      </c>
      <c r="E33" s="28">
        <f t="shared" si="10"/>
        <v>73.89786754413079</v>
      </c>
      <c r="F33" s="5">
        <f t="shared" si="11"/>
        <v>39923</v>
      </c>
      <c r="G33" s="5">
        <v>161.00000000000006</v>
      </c>
      <c r="H33" s="5">
        <v>15089.000000000004</v>
      </c>
      <c r="I33" s="5">
        <v>69.000000000000014</v>
      </c>
      <c r="J33" s="5">
        <v>82.000000000000028</v>
      </c>
      <c r="K33" s="5">
        <v>6517.9999999999982</v>
      </c>
      <c r="L33" s="5">
        <v>40.000000000000014</v>
      </c>
      <c r="M33" s="5">
        <v>10781</v>
      </c>
      <c r="N33" s="5">
        <v>3982</v>
      </c>
      <c r="O33" s="5">
        <v>72.999999999999972</v>
      </c>
      <c r="P33" s="5">
        <v>605.99999999999989</v>
      </c>
      <c r="Q33" s="5">
        <v>170</v>
      </c>
      <c r="R33" s="5">
        <v>551.00000000000011</v>
      </c>
      <c r="S33" s="5">
        <v>1801</v>
      </c>
      <c r="T33" s="29">
        <v>644.99999999999977</v>
      </c>
      <c r="U33" s="29">
        <v>81.000000000000028</v>
      </c>
      <c r="V33" s="5">
        <v>14358</v>
      </c>
      <c r="W33" s="28">
        <f t="shared" si="6"/>
        <v>26.102132455869263</v>
      </c>
      <c r="Z33" s="5"/>
      <c r="AA33" s="5"/>
    </row>
    <row r="34" spans="1:27" ht="15" customHeight="1" x14ac:dyDescent="0.2">
      <c r="A34" s="27" t="s">
        <v>15</v>
      </c>
      <c r="B34" s="5">
        <v>11</v>
      </c>
      <c r="C34" s="5">
        <v>4044</v>
      </c>
      <c r="D34" s="5">
        <f t="shared" si="9"/>
        <v>2812</v>
      </c>
      <c r="E34" s="28">
        <f t="shared" si="10"/>
        <v>69.535113748763592</v>
      </c>
      <c r="F34" s="5">
        <f t="shared" si="11"/>
        <v>2762</v>
      </c>
      <c r="G34" s="5">
        <v>8.0000000000000018</v>
      </c>
      <c r="H34" s="5">
        <v>457.99999999999989</v>
      </c>
      <c r="I34" s="5">
        <v>5</v>
      </c>
      <c r="J34" s="5">
        <v>2</v>
      </c>
      <c r="K34" s="5">
        <v>574.99999999999989</v>
      </c>
      <c r="L34" s="5">
        <v>4</v>
      </c>
      <c r="M34" s="5">
        <v>1240</v>
      </c>
      <c r="N34" s="5">
        <v>250.99999999999997</v>
      </c>
      <c r="O34" s="5">
        <v>12.000000000000002</v>
      </c>
      <c r="P34" s="5">
        <v>28.000000000000004</v>
      </c>
      <c r="Q34" s="5">
        <v>10</v>
      </c>
      <c r="R34" s="5">
        <v>9</v>
      </c>
      <c r="S34" s="5">
        <v>160</v>
      </c>
      <c r="T34" s="29">
        <v>47</v>
      </c>
      <c r="U34" s="29">
        <v>3</v>
      </c>
      <c r="V34" s="5">
        <v>1232.0000000000002</v>
      </c>
      <c r="W34" s="28">
        <f t="shared" si="6"/>
        <v>30.464886251236408</v>
      </c>
      <c r="Z34" s="5"/>
      <c r="AA34" s="5"/>
    </row>
    <row r="35" spans="1:27" ht="15" customHeight="1" x14ac:dyDescent="0.2">
      <c r="A35" s="27" t="s">
        <v>16</v>
      </c>
      <c r="B35" s="5">
        <v>40</v>
      </c>
      <c r="C35" s="5">
        <v>18923</v>
      </c>
      <c r="D35" s="5">
        <f t="shared" si="9"/>
        <v>14257</v>
      </c>
      <c r="E35" s="28">
        <f t="shared" si="10"/>
        <v>75.342176187708077</v>
      </c>
      <c r="F35" s="5">
        <f t="shared" si="11"/>
        <v>14045</v>
      </c>
      <c r="G35" s="5">
        <v>43</v>
      </c>
      <c r="H35" s="5">
        <v>5688.0000000000009</v>
      </c>
      <c r="I35" s="5">
        <v>15</v>
      </c>
      <c r="J35" s="5">
        <v>24</v>
      </c>
      <c r="K35" s="5">
        <v>2573</v>
      </c>
      <c r="L35" s="5">
        <v>33</v>
      </c>
      <c r="M35" s="5">
        <v>3864.0000000000009</v>
      </c>
      <c r="N35" s="5">
        <v>729.99999999999955</v>
      </c>
      <c r="O35" s="5">
        <v>23.999999999999993</v>
      </c>
      <c r="P35" s="5">
        <v>131</v>
      </c>
      <c r="Q35" s="5">
        <v>103</v>
      </c>
      <c r="R35" s="5">
        <v>75</v>
      </c>
      <c r="S35" s="5">
        <v>742.00000000000023</v>
      </c>
      <c r="T35" s="29">
        <v>179.00000000000003</v>
      </c>
      <c r="U35" s="29">
        <v>33</v>
      </c>
      <c r="V35" s="5">
        <v>4666</v>
      </c>
      <c r="W35" s="28">
        <f t="shared" si="6"/>
        <v>24.65782381229192</v>
      </c>
      <c r="Z35" s="5"/>
      <c r="AA35" s="5"/>
    </row>
    <row r="36" spans="1:27" ht="15" customHeight="1" x14ac:dyDescent="0.2">
      <c r="A36" s="27" t="s">
        <v>17</v>
      </c>
      <c r="B36" s="5">
        <v>64</v>
      </c>
      <c r="C36" s="5">
        <v>29894.000000000007</v>
      </c>
      <c r="D36" s="5">
        <f t="shared" si="9"/>
        <v>21896</v>
      </c>
      <c r="E36" s="28">
        <f t="shared" si="10"/>
        <v>73.245467317856409</v>
      </c>
      <c r="F36" s="5">
        <f t="shared" si="11"/>
        <v>21433</v>
      </c>
      <c r="G36" s="5">
        <v>85.000000000000028</v>
      </c>
      <c r="H36" s="5">
        <v>6593</v>
      </c>
      <c r="I36" s="5">
        <v>21.000000000000004</v>
      </c>
      <c r="J36" s="5">
        <v>64.000000000000014</v>
      </c>
      <c r="K36" s="5">
        <v>4478.9999999999991</v>
      </c>
      <c r="L36" s="5">
        <v>38.000000000000014</v>
      </c>
      <c r="M36" s="5">
        <v>6354.0000000000009</v>
      </c>
      <c r="N36" s="5">
        <v>1893.9999999999998</v>
      </c>
      <c r="O36" s="5">
        <v>39.999999999999986</v>
      </c>
      <c r="P36" s="5">
        <v>181.99999999999997</v>
      </c>
      <c r="Q36" s="5">
        <v>88</v>
      </c>
      <c r="R36" s="5">
        <v>303.00000000000011</v>
      </c>
      <c r="S36" s="5">
        <v>1291.9999999999998</v>
      </c>
      <c r="T36" s="29">
        <v>401</v>
      </c>
      <c r="U36" s="29">
        <v>62.000000000000014</v>
      </c>
      <c r="V36" s="5">
        <v>7997.9999999999991</v>
      </c>
      <c r="W36" s="28">
        <f t="shared" si="6"/>
        <v>26.754532682143566</v>
      </c>
      <c r="Z36" s="5"/>
      <c r="AA36" s="5"/>
    </row>
    <row r="37" spans="1:27" ht="15" customHeight="1" x14ac:dyDescent="0.2">
      <c r="A37" s="27" t="s">
        <v>18</v>
      </c>
      <c r="B37" s="5">
        <v>55</v>
      </c>
      <c r="C37" s="5">
        <v>27131.999999999996</v>
      </c>
      <c r="D37" s="5">
        <f t="shared" si="9"/>
        <v>20949.999999999996</v>
      </c>
      <c r="E37" s="28">
        <f t="shared" si="10"/>
        <v>77.21509656494176</v>
      </c>
      <c r="F37" s="5">
        <f t="shared" si="11"/>
        <v>20544.999999999996</v>
      </c>
      <c r="G37" s="5">
        <v>33.999999999999993</v>
      </c>
      <c r="H37" s="5">
        <v>5203</v>
      </c>
      <c r="I37" s="5">
        <v>30.000000000000004</v>
      </c>
      <c r="J37" s="5">
        <v>35.000000000000014</v>
      </c>
      <c r="K37" s="5">
        <v>4642</v>
      </c>
      <c r="L37" s="5">
        <v>9.0000000000000018</v>
      </c>
      <c r="M37" s="5">
        <v>8784.9999999999964</v>
      </c>
      <c r="N37" s="5">
        <v>581.00000000000011</v>
      </c>
      <c r="O37" s="5">
        <v>43</v>
      </c>
      <c r="P37" s="5">
        <v>241</v>
      </c>
      <c r="Q37" s="5">
        <v>49.000000000000007</v>
      </c>
      <c r="R37" s="5">
        <v>237.99999999999994</v>
      </c>
      <c r="S37" s="5">
        <v>655</v>
      </c>
      <c r="T37" s="29">
        <v>351.00000000000006</v>
      </c>
      <c r="U37" s="29">
        <v>54.000000000000014</v>
      </c>
      <c r="V37" s="5">
        <v>6182</v>
      </c>
      <c r="W37" s="28">
        <f t="shared" si="6"/>
        <v>22.784903435058236</v>
      </c>
      <c r="Z37" s="5"/>
      <c r="AA37" s="5"/>
    </row>
    <row r="38" spans="1:27" ht="15" customHeight="1" x14ac:dyDescent="0.2">
      <c r="A38" s="27" t="s">
        <v>58</v>
      </c>
      <c r="B38" s="5">
        <v>41</v>
      </c>
      <c r="C38" s="5">
        <v>19747.000000000004</v>
      </c>
      <c r="D38" s="5">
        <f t="shared" si="9"/>
        <v>14983</v>
      </c>
      <c r="E38" s="28">
        <f t="shared" si="10"/>
        <v>75.874816427811808</v>
      </c>
      <c r="F38" s="5">
        <f t="shared" si="11"/>
        <v>14714</v>
      </c>
      <c r="G38" s="5">
        <v>68</v>
      </c>
      <c r="H38" s="5">
        <v>4686</v>
      </c>
      <c r="I38" s="5">
        <v>20.000000000000004</v>
      </c>
      <c r="J38" s="5">
        <v>33</v>
      </c>
      <c r="K38" s="5">
        <v>2312.0000000000005</v>
      </c>
      <c r="L38" s="5">
        <v>23.999999999999993</v>
      </c>
      <c r="M38" s="5">
        <v>4491</v>
      </c>
      <c r="N38" s="5">
        <v>1954.0000000000005</v>
      </c>
      <c r="O38" s="5">
        <v>29</v>
      </c>
      <c r="P38" s="5">
        <v>267</v>
      </c>
      <c r="Q38" s="5">
        <v>64</v>
      </c>
      <c r="R38" s="5">
        <v>209</v>
      </c>
      <c r="S38" s="5">
        <v>557</v>
      </c>
      <c r="T38" s="29">
        <v>240</v>
      </c>
      <c r="U38" s="29">
        <v>29</v>
      </c>
      <c r="V38" s="5">
        <v>4764</v>
      </c>
      <c r="W38" s="28">
        <f t="shared" si="6"/>
        <v>24.125183572188174</v>
      </c>
      <c r="Z38" s="5"/>
      <c r="AA38" s="5"/>
    </row>
    <row r="39" spans="1:27" ht="15" customHeight="1" x14ac:dyDescent="0.2">
      <c r="A39" s="27" t="s">
        <v>20</v>
      </c>
      <c r="B39" s="5">
        <v>31</v>
      </c>
      <c r="C39" s="5">
        <v>14116.000000000002</v>
      </c>
      <c r="D39" s="5">
        <f t="shared" si="9"/>
        <v>9001.9999999999982</v>
      </c>
      <c r="E39" s="28">
        <f t="shared" si="10"/>
        <v>63.771606687446848</v>
      </c>
      <c r="F39" s="5">
        <f t="shared" si="11"/>
        <v>8827.9999999999982</v>
      </c>
      <c r="G39" s="5">
        <v>37.000000000000007</v>
      </c>
      <c r="H39" s="5">
        <v>1522</v>
      </c>
      <c r="I39" s="5">
        <v>12.000000000000002</v>
      </c>
      <c r="J39" s="5">
        <v>12</v>
      </c>
      <c r="K39" s="5">
        <v>1601</v>
      </c>
      <c r="L39" s="5">
        <v>4.0000000000000009</v>
      </c>
      <c r="M39" s="5">
        <v>3822.9999999999986</v>
      </c>
      <c r="N39" s="5">
        <v>710</v>
      </c>
      <c r="O39" s="5">
        <v>21.999999999999993</v>
      </c>
      <c r="P39" s="5">
        <v>61.999999999999993</v>
      </c>
      <c r="Q39" s="5">
        <v>29.999999999999989</v>
      </c>
      <c r="R39" s="5">
        <v>90</v>
      </c>
      <c r="S39" s="5">
        <v>903.00000000000011</v>
      </c>
      <c r="T39" s="29">
        <v>147</v>
      </c>
      <c r="U39" s="29">
        <v>26.999999999999996</v>
      </c>
      <c r="V39" s="5">
        <v>5113.9999999999991</v>
      </c>
      <c r="W39" s="28">
        <f t="shared" si="6"/>
        <v>36.228393312553123</v>
      </c>
      <c r="Z39" s="5"/>
      <c r="AA39" s="5"/>
    </row>
    <row r="40" spans="1:27" ht="15" customHeight="1" x14ac:dyDescent="0.2">
      <c r="A40" s="27" t="s">
        <v>87</v>
      </c>
      <c r="B40" s="5">
        <v>227</v>
      </c>
      <c r="C40" s="5">
        <v>97702.000000000029</v>
      </c>
      <c r="D40" s="5">
        <f t="shared" si="9"/>
        <v>68706.999999999985</v>
      </c>
      <c r="E40" s="28">
        <f t="shared" si="10"/>
        <v>70.323023070152061</v>
      </c>
      <c r="F40" s="5">
        <f t="shared" si="11"/>
        <v>67379.999999999985</v>
      </c>
      <c r="G40" s="5">
        <v>280.99999999999994</v>
      </c>
      <c r="H40" s="5">
        <v>19997.999999999985</v>
      </c>
      <c r="I40" s="5">
        <v>112</v>
      </c>
      <c r="J40" s="5">
        <v>187.00000000000011</v>
      </c>
      <c r="K40" s="5">
        <v>10034.999999999995</v>
      </c>
      <c r="L40" s="5">
        <v>59.000000000000043</v>
      </c>
      <c r="M40" s="5">
        <v>19664.000000000007</v>
      </c>
      <c r="N40" s="5">
        <v>8070.9999999999982</v>
      </c>
      <c r="O40" s="5">
        <v>124.99999999999991</v>
      </c>
      <c r="P40" s="5">
        <v>3787</v>
      </c>
      <c r="Q40" s="5">
        <v>642.00000000000011</v>
      </c>
      <c r="R40" s="5">
        <v>526.00000000000023</v>
      </c>
      <c r="S40" s="5">
        <v>3893.0000000000027</v>
      </c>
      <c r="T40" s="29">
        <v>1175</v>
      </c>
      <c r="U40" s="29">
        <v>151.99999999999989</v>
      </c>
      <c r="V40" s="5">
        <v>28994.999999999971</v>
      </c>
      <c r="W40" s="28">
        <f t="shared" si="6"/>
        <v>29.676976929847864</v>
      </c>
      <c r="Z40" s="5"/>
      <c r="AA40" s="5"/>
    </row>
    <row r="41" spans="1:27" ht="15" customHeight="1" x14ac:dyDescent="0.2">
      <c r="A41" s="31" t="s">
        <v>116</v>
      </c>
      <c r="B41" s="5">
        <v>22</v>
      </c>
      <c r="C41" s="5">
        <v>8490</v>
      </c>
      <c r="D41" s="5">
        <f t="shared" si="9"/>
        <v>7015</v>
      </c>
      <c r="E41" s="28">
        <f t="shared" si="10"/>
        <v>82.62661955241461</v>
      </c>
      <c r="F41" s="5">
        <f t="shared" si="11"/>
        <v>6907</v>
      </c>
      <c r="G41" s="5">
        <v>14.000000000000002</v>
      </c>
      <c r="H41" s="5">
        <v>2126</v>
      </c>
      <c r="I41" s="5">
        <v>11.000000000000002</v>
      </c>
      <c r="J41" s="5">
        <v>7.9999999999999991</v>
      </c>
      <c r="K41" s="5">
        <v>1033.9999999999998</v>
      </c>
      <c r="L41" s="5">
        <v>6</v>
      </c>
      <c r="M41" s="5">
        <v>2734</v>
      </c>
      <c r="N41" s="5">
        <v>304</v>
      </c>
      <c r="O41" s="5">
        <v>18.999999999999996</v>
      </c>
      <c r="P41" s="5">
        <v>127.00000000000001</v>
      </c>
      <c r="Q41" s="5">
        <v>17.999999999999993</v>
      </c>
      <c r="R41" s="5">
        <v>35</v>
      </c>
      <c r="S41" s="5">
        <v>471.00000000000011</v>
      </c>
      <c r="T41" s="29">
        <v>94.000000000000014</v>
      </c>
      <c r="U41" s="29">
        <v>14.000000000000002</v>
      </c>
      <c r="V41" s="5">
        <v>1475.0000000000005</v>
      </c>
      <c r="W41" s="28">
        <f t="shared" si="6"/>
        <v>17.373380447585397</v>
      </c>
      <c r="Z41" s="5"/>
      <c r="AA41" s="5"/>
    </row>
    <row r="42" spans="1:27" ht="15" customHeight="1" x14ac:dyDescent="0.2">
      <c r="A42" s="27" t="s">
        <v>88</v>
      </c>
      <c r="B42" s="5">
        <v>30</v>
      </c>
      <c r="C42" s="5">
        <v>13710.000000000002</v>
      </c>
      <c r="D42" s="5">
        <f t="shared" si="9"/>
        <v>9646</v>
      </c>
      <c r="E42" s="28">
        <f t="shared" si="10"/>
        <v>70.357403355215169</v>
      </c>
      <c r="F42" s="5">
        <f t="shared" si="11"/>
        <v>9481</v>
      </c>
      <c r="G42" s="5">
        <v>27.000000000000004</v>
      </c>
      <c r="H42" s="5">
        <v>2639.9999999999995</v>
      </c>
      <c r="I42" s="5">
        <v>17.999999999999996</v>
      </c>
      <c r="J42" s="5">
        <v>11</v>
      </c>
      <c r="K42" s="5">
        <v>1864.0000000000002</v>
      </c>
      <c r="L42" s="5">
        <v>5.0000000000000009</v>
      </c>
      <c r="M42" s="5">
        <v>2461</v>
      </c>
      <c r="N42" s="5">
        <v>1453.9999999999995</v>
      </c>
      <c r="O42" s="5">
        <v>27.999999999999996</v>
      </c>
      <c r="P42" s="5">
        <v>88.999999999999972</v>
      </c>
      <c r="Q42" s="5">
        <v>39</v>
      </c>
      <c r="R42" s="5">
        <v>260.00000000000006</v>
      </c>
      <c r="S42" s="5">
        <v>584.99999999999989</v>
      </c>
      <c r="T42" s="29">
        <v>140</v>
      </c>
      <c r="U42" s="29">
        <v>25</v>
      </c>
      <c r="V42" s="5">
        <v>4063.9999999999982</v>
      </c>
      <c r="W42" s="28">
        <f t="shared" si="6"/>
        <v>29.642596644784813</v>
      </c>
      <c r="Z42" s="5"/>
      <c r="AA42" s="5"/>
    </row>
    <row r="43" spans="1:27" ht="15" customHeight="1" x14ac:dyDescent="0.2">
      <c r="A43" s="27" t="s">
        <v>89</v>
      </c>
      <c r="B43" s="5">
        <v>65</v>
      </c>
      <c r="C43" s="5">
        <v>24596.999999999993</v>
      </c>
      <c r="D43" s="5">
        <f t="shared" si="9"/>
        <v>14461.000000000004</v>
      </c>
      <c r="E43" s="28">
        <f t="shared" si="10"/>
        <v>58.791722567792846</v>
      </c>
      <c r="F43" s="5">
        <f t="shared" si="11"/>
        <v>13940.000000000004</v>
      </c>
      <c r="G43" s="5">
        <v>85.999999999999986</v>
      </c>
      <c r="H43" s="5">
        <v>1581.0000000000002</v>
      </c>
      <c r="I43" s="5">
        <v>23.000000000000004</v>
      </c>
      <c r="J43" s="5">
        <v>38</v>
      </c>
      <c r="K43" s="5">
        <v>2821.0000000000014</v>
      </c>
      <c r="L43" s="5">
        <v>16.999999999999996</v>
      </c>
      <c r="M43" s="5">
        <v>5192.0000000000009</v>
      </c>
      <c r="N43" s="5">
        <v>2575.9999999999995</v>
      </c>
      <c r="O43" s="5">
        <v>21.000000000000004</v>
      </c>
      <c r="P43" s="5">
        <v>69</v>
      </c>
      <c r="Q43" s="5">
        <v>175</v>
      </c>
      <c r="R43" s="5">
        <v>180.99999999999994</v>
      </c>
      <c r="S43" s="5">
        <v>1160.0000000000002</v>
      </c>
      <c r="T43" s="29">
        <v>419.00000000000006</v>
      </c>
      <c r="U43" s="29">
        <v>102</v>
      </c>
      <c r="V43" s="5">
        <v>10136</v>
      </c>
      <c r="W43" s="28">
        <f t="shared" si="6"/>
        <v>41.20827743220719</v>
      </c>
      <c r="Z43" s="5"/>
      <c r="AA43" s="5"/>
    </row>
    <row r="44" spans="1:27" ht="15" customHeight="1" x14ac:dyDescent="0.2">
      <c r="A44" s="27" t="s">
        <v>90</v>
      </c>
      <c r="B44" s="5">
        <v>29</v>
      </c>
      <c r="C44" s="5">
        <v>10456.999999999998</v>
      </c>
      <c r="D44" s="5">
        <f t="shared" si="9"/>
        <v>6306</v>
      </c>
      <c r="E44" s="28">
        <f t="shared" si="10"/>
        <v>60.3041025150617</v>
      </c>
      <c r="F44" s="5">
        <f t="shared" si="11"/>
        <v>6094</v>
      </c>
      <c r="G44" s="5">
        <v>25</v>
      </c>
      <c r="H44" s="5">
        <v>806.00000000000023</v>
      </c>
      <c r="I44" s="5">
        <v>12.999999999999996</v>
      </c>
      <c r="J44" s="5">
        <v>114.00000000000003</v>
      </c>
      <c r="K44" s="5">
        <v>1786.9999999999998</v>
      </c>
      <c r="L44" s="5">
        <v>13</v>
      </c>
      <c r="M44" s="5">
        <v>1711.9999999999998</v>
      </c>
      <c r="N44" s="5">
        <v>891</v>
      </c>
      <c r="O44" s="5">
        <v>11.000000000000002</v>
      </c>
      <c r="P44" s="5">
        <v>123.00000000000001</v>
      </c>
      <c r="Q44" s="5">
        <v>96</v>
      </c>
      <c r="R44" s="5">
        <v>114.00000000000003</v>
      </c>
      <c r="S44" s="5">
        <v>388.99999999999989</v>
      </c>
      <c r="T44" s="29">
        <v>178.00000000000003</v>
      </c>
      <c r="U44" s="29">
        <v>34</v>
      </c>
      <c r="V44" s="5">
        <v>4150.9999999999991</v>
      </c>
      <c r="W44" s="28">
        <f t="shared" si="6"/>
        <v>39.695897484938321</v>
      </c>
      <c r="Z44" s="5"/>
      <c r="AA44" s="5"/>
    </row>
    <row r="45" spans="1:27" ht="15" customHeight="1" x14ac:dyDescent="0.2">
      <c r="A45" s="27" t="s">
        <v>91</v>
      </c>
      <c r="B45" s="5">
        <v>26</v>
      </c>
      <c r="C45" s="5">
        <v>9919</v>
      </c>
      <c r="D45" s="5">
        <f t="shared" si="9"/>
        <v>6376</v>
      </c>
      <c r="E45" s="28">
        <f t="shared" si="10"/>
        <v>64.280673454985376</v>
      </c>
      <c r="F45" s="5">
        <f t="shared" si="11"/>
        <v>6184</v>
      </c>
      <c r="G45" s="5">
        <v>31.000000000000011</v>
      </c>
      <c r="H45" s="5">
        <v>809</v>
      </c>
      <c r="I45" s="5">
        <v>12</v>
      </c>
      <c r="J45" s="5">
        <v>11.000000000000002</v>
      </c>
      <c r="K45" s="5">
        <v>1074.9999999999998</v>
      </c>
      <c r="L45" s="5">
        <v>9.0000000000000018</v>
      </c>
      <c r="M45" s="5">
        <v>2536</v>
      </c>
      <c r="N45" s="5">
        <v>1020.0000000000002</v>
      </c>
      <c r="O45" s="5">
        <v>10</v>
      </c>
      <c r="P45" s="5">
        <v>39</v>
      </c>
      <c r="Q45" s="5">
        <v>118.00000000000001</v>
      </c>
      <c r="R45" s="5">
        <v>145</v>
      </c>
      <c r="S45" s="5">
        <v>369</v>
      </c>
      <c r="T45" s="29">
        <v>166</v>
      </c>
      <c r="U45" s="29">
        <v>25.999999999999993</v>
      </c>
      <c r="V45" s="5">
        <v>3543</v>
      </c>
      <c r="W45" s="28">
        <f t="shared" si="6"/>
        <v>35.719326545014617</v>
      </c>
      <c r="Z45" s="5"/>
      <c r="AA45" s="5"/>
    </row>
    <row r="46" spans="1:27" s="26" customFormat="1" ht="30" customHeight="1" x14ac:dyDescent="0.25">
      <c r="A46" s="23" t="s">
        <v>44</v>
      </c>
      <c r="B46" s="24">
        <v>743</v>
      </c>
      <c r="C46" s="24">
        <v>359985.00000000012</v>
      </c>
      <c r="D46" s="25">
        <f t="shared" ref="D46:F46" si="12">SUM(D47:D54)</f>
        <v>264532</v>
      </c>
      <c r="E46" s="21">
        <f t="shared" si="10"/>
        <v>73.484172951650734</v>
      </c>
      <c r="F46" s="25">
        <f t="shared" si="12"/>
        <v>258493</v>
      </c>
      <c r="G46" s="24">
        <v>1594.9999999999968</v>
      </c>
      <c r="H46" s="24">
        <v>89965.000000000058</v>
      </c>
      <c r="I46" s="24">
        <v>513.99999999999989</v>
      </c>
      <c r="J46" s="24">
        <v>743</v>
      </c>
      <c r="K46" s="24">
        <v>37968.999999999985</v>
      </c>
      <c r="L46" s="24">
        <v>440.00000000000011</v>
      </c>
      <c r="M46" s="24">
        <v>71981.000000000044</v>
      </c>
      <c r="N46" s="24">
        <v>29391.000000000018</v>
      </c>
      <c r="O46" s="24">
        <v>892.99999999999943</v>
      </c>
      <c r="P46" s="24">
        <v>5491.9999999999927</v>
      </c>
      <c r="Q46" s="24">
        <v>867.00000000000114</v>
      </c>
      <c r="R46" s="24">
        <v>2286.0000000000009</v>
      </c>
      <c r="S46" s="24">
        <v>16357.000000000005</v>
      </c>
      <c r="T46" s="30">
        <v>5277.0000000000018</v>
      </c>
      <c r="U46" s="30">
        <v>762.00000000000057</v>
      </c>
      <c r="V46" s="24">
        <v>95453.000000000044</v>
      </c>
      <c r="W46" s="21">
        <f t="shared" si="6"/>
        <v>26.515827048349237</v>
      </c>
      <c r="Z46" s="24"/>
      <c r="AA46" s="24"/>
    </row>
    <row r="47" spans="1:27" ht="15" customHeight="1" x14ac:dyDescent="0.2">
      <c r="A47" s="27" t="s">
        <v>21</v>
      </c>
      <c r="B47" s="5">
        <v>221</v>
      </c>
      <c r="C47" s="5">
        <v>113463.00000000003</v>
      </c>
      <c r="D47" s="5">
        <f t="shared" ref="D47:D54" si="13">F47+U47+T47</f>
        <v>86960</v>
      </c>
      <c r="E47" s="28">
        <f t="shared" ref="E47:E55" si="14">D47/C47*100</f>
        <v>76.641724615072732</v>
      </c>
      <c r="F47" s="5">
        <f t="shared" ref="F47:F54" si="15">SUM(G47:S47)</f>
        <v>85190</v>
      </c>
      <c r="G47" s="5">
        <v>517</v>
      </c>
      <c r="H47" s="5">
        <v>31893.000000000007</v>
      </c>
      <c r="I47" s="5">
        <v>184</v>
      </c>
      <c r="J47" s="5">
        <v>233.99999999999991</v>
      </c>
      <c r="K47" s="5">
        <v>11461.999999999993</v>
      </c>
      <c r="L47" s="5">
        <v>137.00000000000006</v>
      </c>
      <c r="M47" s="5">
        <v>23709</v>
      </c>
      <c r="N47" s="5">
        <v>9496.9999999999964</v>
      </c>
      <c r="O47" s="5">
        <v>306.99999999999994</v>
      </c>
      <c r="P47" s="5">
        <v>1840.9999999999993</v>
      </c>
      <c r="Q47" s="5">
        <v>194</v>
      </c>
      <c r="R47" s="5">
        <v>671</v>
      </c>
      <c r="S47" s="5">
        <v>4544.0000000000009</v>
      </c>
      <c r="T47" s="29">
        <v>1519.0000000000005</v>
      </c>
      <c r="U47" s="29">
        <v>251.00000000000003</v>
      </c>
      <c r="V47" s="5">
        <v>26502.999999999996</v>
      </c>
      <c r="W47" s="28">
        <f t="shared" si="6"/>
        <v>23.358275384927236</v>
      </c>
      <c r="Z47" s="5"/>
      <c r="AA47" s="5"/>
    </row>
    <row r="48" spans="1:27" ht="15" customHeight="1" x14ac:dyDescent="0.2">
      <c r="A48" s="27" t="s">
        <v>22</v>
      </c>
      <c r="B48" s="5">
        <v>87</v>
      </c>
      <c r="C48" s="5">
        <v>43000</v>
      </c>
      <c r="D48" s="5">
        <f t="shared" si="13"/>
        <v>32178.999999999996</v>
      </c>
      <c r="E48" s="28">
        <f t="shared" si="14"/>
        <v>74.834883720930222</v>
      </c>
      <c r="F48" s="5">
        <f t="shared" si="15"/>
        <v>31240.999999999996</v>
      </c>
      <c r="G48" s="5">
        <v>169.99999999999994</v>
      </c>
      <c r="H48" s="5">
        <v>9946.9999999999982</v>
      </c>
      <c r="I48" s="5">
        <v>36.000000000000007</v>
      </c>
      <c r="J48" s="5">
        <v>74.999999999999972</v>
      </c>
      <c r="K48" s="5">
        <v>5359</v>
      </c>
      <c r="L48" s="5">
        <v>40.000000000000007</v>
      </c>
      <c r="M48" s="5">
        <v>7707.9999999999991</v>
      </c>
      <c r="N48" s="5">
        <v>3789.9999999999991</v>
      </c>
      <c r="O48" s="5">
        <v>86.999999999999986</v>
      </c>
      <c r="P48" s="5">
        <v>1345.9999999999998</v>
      </c>
      <c r="Q48" s="5">
        <v>79.999999999999986</v>
      </c>
      <c r="R48" s="5">
        <v>302.99999999999994</v>
      </c>
      <c r="S48" s="5">
        <v>2300</v>
      </c>
      <c r="T48" s="29">
        <v>855.99999999999977</v>
      </c>
      <c r="U48" s="29">
        <v>82</v>
      </c>
      <c r="V48" s="5">
        <v>10820.999999999998</v>
      </c>
      <c r="W48" s="28">
        <f t="shared" si="6"/>
        <v>25.165116279069764</v>
      </c>
      <c r="Z48" s="5"/>
      <c r="AA48" s="5"/>
    </row>
    <row r="49" spans="1:27" ht="15" customHeight="1" x14ac:dyDescent="0.2">
      <c r="A49" s="27" t="s">
        <v>35</v>
      </c>
      <c r="B49" s="5">
        <v>122</v>
      </c>
      <c r="C49" s="5">
        <v>64440.999999999993</v>
      </c>
      <c r="D49" s="5">
        <f t="shared" si="13"/>
        <v>46227</v>
      </c>
      <c r="E49" s="28">
        <f t="shared" si="14"/>
        <v>71.735385856830291</v>
      </c>
      <c r="F49" s="5">
        <f t="shared" si="15"/>
        <v>45415</v>
      </c>
      <c r="G49" s="5">
        <v>267.00000000000011</v>
      </c>
      <c r="H49" s="5">
        <v>18051.000000000004</v>
      </c>
      <c r="I49" s="5">
        <v>92.000000000000014</v>
      </c>
      <c r="J49" s="5">
        <v>124</v>
      </c>
      <c r="K49" s="5">
        <v>6042.0000000000009</v>
      </c>
      <c r="L49" s="5">
        <v>124.00000000000006</v>
      </c>
      <c r="M49" s="5">
        <v>11193.999999999998</v>
      </c>
      <c r="N49" s="5">
        <v>5446.0000000000036</v>
      </c>
      <c r="O49" s="5">
        <v>158</v>
      </c>
      <c r="P49" s="5">
        <v>705.00000000000011</v>
      </c>
      <c r="Q49" s="5">
        <v>224.99999999999994</v>
      </c>
      <c r="R49" s="5">
        <v>482</v>
      </c>
      <c r="S49" s="5">
        <v>2505.0000000000009</v>
      </c>
      <c r="T49" s="29">
        <v>736.99999999999977</v>
      </c>
      <c r="U49" s="29">
        <v>74.999999999999957</v>
      </c>
      <c r="V49" s="5">
        <v>18214.000000000011</v>
      </c>
      <c r="W49" s="28">
        <f t="shared" si="6"/>
        <v>28.264614143169741</v>
      </c>
      <c r="Z49" s="5"/>
      <c r="AA49" s="5"/>
    </row>
    <row r="50" spans="1:27" ht="15" customHeight="1" x14ac:dyDescent="0.2">
      <c r="A50" s="27" t="s">
        <v>39</v>
      </c>
      <c r="B50" s="5">
        <v>29</v>
      </c>
      <c r="C50" s="5">
        <v>11308</v>
      </c>
      <c r="D50" s="5">
        <f t="shared" si="13"/>
        <v>8095</v>
      </c>
      <c r="E50" s="28">
        <f t="shared" si="14"/>
        <v>71.586487442518575</v>
      </c>
      <c r="F50" s="5">
        <f t="shared" si="15"/>
        <v>7852</v>
      </c>
      <c r="G50" s="5">
        <v>85.000000000000014</v>
      </c>
      <c r="H50" s="5">
        <v>1790.9999999999998</v>
      </c>
      <c r="I50" s="5">
        <v>12.999999999999998</v>
      </c>
      <c r="J50" s="5">
        <v>27.999999999999996</v>
      </c>
      <c r="K50" s="5">
        <v>1581</v>
      </c>
      <c r="L50" s="5">
        <v>20.999999999999996</v>
      </c>
      <c r="M50" s="5">
        <v>2718</v>
      </c>
      <c r="N50" s="5">
        <v>832</v>
      </c>
      <c r="O50" s="5">
        <v>42.000000000000007</v>
      </c>
      <c r="P50" s="5">
        <v>85</v>
      </c>
      <c r="Q50" s="5">
        <v>46.000000000000007</v>
      </c>
      <c r="R50" s="5">
        <v>59.999999999999979</v>
      </c>
      <c r="S50" s="5">
        <v>550.00000000000011</v>
      </c>
      <c r="T50" s="29">
        <v>207</v>
      </c>
      <c r="U50" s="29">
        <v>36</v>
      </c>
      <c r="V50" s="5">
        <v>3213.0000000000005</v>
      </c>
      <c r="W50" s="28">
        <f t="shared" si="6"/>
        <v>28.413512557481436</v>
      </c>
      <c r="Z50" s="5"/>
      <c r="AA50" s="5"/>
    </row>
    <row r="51" spans="1:27" ht="15" customHeight="1" x14ac:dyDescent="0.2">
      <c r="A51" s="27" t="s">
        <v>23</v>
      </c>
      <c r="B51" s="5">
        <v>135</v>
      </c>
      <c r="C51" s="5">
        <v>54654.000000000007</v>
      </c>
      <c r="D51" s="5">
        <f t="shared" si="13"/>
        <v>36628</v>
      </c>
      <c r="E51" s="28">
        <f t="shared" si="14"/>
        <v>67.017967577853398</v>
      </c>
      <c r="F51" s="5">
        <f t="shared" si="15"/>
        <v>35697</v>
      </c>
      <c r="G51" s="5">
        <v>214</v>
      </c>
      <c r="H51" s="5">
        <v>9930.9999999999945</v>
      </c>
      <c r="I51" s="5">
        <v>85.999999999999986</v>
      </c>
      <c r="J51" s="5">
        <v>114.00000000000001</v>
      </c>
      <c r="K51" s="5">
        <v>6832.9999999999973</v>
      </c>
      <c r="L51" s="5">
        <v>55</v>
      </c>
      <c r="M51" s="5">
        <v>11487.000000000005</v>
      </c>
      <c r="N51" s="5">
        <v>3202.0000000000005</v>
      </c>
      <c r="O51" s="5">
        <v>109.99999999999996</v>
      </c>
      <c r="P51" s="5">
        <v>315.99999999999983</v>
      </c>
      <c r="Q51" s="5">
        <v>186.99999999999994</v>
      </c>
      <c r="R51" s="5">
        <v>314</v>
      </c>
      <c r="S51" s="5">
        <v>2848</v>
      </c>
      <c r="T51" s="29">
        <v>786.00000000000023</v>
      </c>
      <c r="U51" s="29">
        <v>144.99999999999997</v>
      </c>
      <c r="V51" s="5">
        <v>18026</v>
      </c>
      <c r="W51" s="28">
        <f t="shared" si="6"/>
        <v>32.982032422146588</v>
      </c>
      <c r="Z51" s="5"/>
      <c r="AA51" s="5"/>
    </row>
    <row r="52" spans="1:27" ht="15" customHeight="1" x14ac:dyDescent="0.2">
      <c r="A52" s="27" t="s">
        <v>59</v>
      </c>
      <c r="B52" s="5">
        <v>21</v>
      </c>
      <c r="C52" s="5">
        <v>9484</v>
      </c>
      <c r="D52" s="5">
        <f t="shared" si="13"/>
        <v>6739</v>
      </c>
      <c r="E52" s="28">
        <f t="shared" si="14"/>
        <v>71.056516237874305</v>
      </c>
      <c r="F52" s="5">
        <f t="shared" si="15"/>
        <v>6552</v>
      </c>
      <c r="G52" s="5">
        <v>39</v>
      </c>
      <c r="H52" s="5">
        <v>2289</v>
      </c>
      <c r="I52" s="5">
        <v>12</v>
      </c>
      <c r="J52" s="5">
        <v>17.000000000000004</v>
      </c>
      <c r="K52" s="5">
        <v>797.00000000000011</v>
      </c>
      <c r="L52" s="5">
        <v>14.000000000000002</v>
      </c>
      <c r="M52" s="5">
        <v>1808.0000000000002</v>
      </c>
      <c r="N52" s="5">
        <v>818.99999999999989</v>
      </c>
      <c r="O52" s="5">
        <v>19</v>
      </c>
      <c r="P52" s="5">
        <v>179.00000000000009</v>
      </c>
      <c r="Q52" s="5">
        <v>18</v>
      </c>
      <c r="R52" s="5">
        <v>48</v>
      </c>
      <c r="S52" s="5">
        <v>492.99999999999994</v>
      </c>
      <c r="T52" s="29">
        <v>159</v>
      </c>
      <c r="U52" s="29">
        <v>28.000000000000004</v>
      </c>
      <c r="V52" s="5">
        <v>2745.0000000000009</v>
      </c>
      <c r="W52" s="28">
        <f t="shared" si="6"/>
        <v>28.943483762125695</v>
      </c>
      <c r="Z52" s="5"/>
      <c r="AA52" s="5"/>
    </row>
    <row r="53" spans="1:27" ht="15" customHeight="1" x14ac:dyDescent="0.2">
      <c r="A53" s="27" t="s">
        <v>60</v>
      </c>
      <c r="B53" s="5">
        <v>66</v>
      </c>
      <c r="C53" s="5">
        <v>33361</v>
      </c>
      <c r="D53" s="5">
        <f t="shared" si="13"/>
        <v>24644</v>
      </c>
      <c r="E53" s="28">
        <f t="shared" si="14"/>
        <v>73.8706873295165</v>
      </c>
      <c r="F53" s="5">
        <f t="shared" si="15"/>
        <v>24043</v>
      </c>
      <c r="G53" s="5">
        <v>159</v>
      </c>
      <c r="H53" s="5">
        <v>8530.9999999999982</v>
      </c>
      <c r="I53" s="5">
        <v>54</v>
      </c>
      <c r="J53" s="5">
        <v>90.999999999999972</v>
      </c>
      <c r="K53" s="5">
        <v>3111.0000000000009</v>
      </c>
      <c r="L53" s="5">
        <v>21</v>
      </c>
      <c r="M53" s="5">
        <v>6448</v>
      </c>
      <c r="N53" s="5">
        <v>3184.9999999999995</v>
      </c>
      <c r="O53" s="5">
        <v>85</v>
      </c>
      <c r="P53" s="5">
        <v>648</v>
      </c>
      <c r="Q53" s="5">
        <v>55.000000000000014</v>
      </c>
      <c r="R53" s="5">
        <v>188.99999999999991</v>
      </c>
      <c r="S53" s="5">
        <v>1466.0000000000002</v>
      </c>
      <c r="T53" s="29">
        <v>532.00000000000023</v>
      </c>
      <c r="U53" s="29">
        <v>69</v>
      </c>
      <c r="V53" s="5">
        <v>8717.0000000000018</v>
      </c>
      <c r="W53" s="28">
        <f t="shared" si="6"/>
        <v>26.129312670483507</v>
      </c>
      <c r="Z53" s="5"/>
      <c r="AA53" s="5"/>
    </row>
    <row r="54" spans="1:27" ht="15" customHeight="1" x14ac:dyDescent="0.2">
      <c r="A54" s="27" t="s">
        <v>61</v>
      </c>
      <c r="B54" s="5">
        <v>62</v>
      </c>
      <c r="C54" s="5">
        <v>30273.999999999996</v>
      </c>
      <c r="D54" s="5">
        <f t="shared" si="13"/>
        <v>23059.999999999996</v>
      </c>
      <c r="E54" s="28">
        <f t="shared" si="14"/>
        <v>76.170971790975756</v>
      </c>
      <c r="F54" s="5">
        <f t="shared" si="15"/>
        <v>22502.999999999996</v>
      </c>
      <c r="G54" s="5">
        <v>144</v>
      </c>
      <c r="H54" s="5">
        <v>7531.9999999999964</v>
      </c>
      <c r="I54" s="5">
        <v>37.000000000000007</v>
      </c>
      <c r="J54" s="5">
        <v>60</v>
      </c>
      <c r="K54" s="5">
        <v>2783.9999999999991</v>
      </c>
      <c r="L54" s="5">
        <v>27.999999999999993</v>
      </c>
      <c r="M54" s="5">
        <v>6909</v>
      </c>
      <c r="N54" s="5">
        <v>2619.9999999999991</v>
      </c>
      <c r="O54" s="5">
        <v>84.999999999999972</v>
      </c>
      <c r="P54" s="5">
        <v>372.00000000000006</v>
      </c>
      <c r="Q54" s="5">
        <v>62</v>
      </c>
      <c r="R54" s="5">
        <v>218.99999999999991</v>
      </c>
      <c r="S54" s="5">
        <v>1650.9999999999995</v>
      </c>
      <c r="T54" s="29">
        <v>480.99999999999994</v>
      </c>
      <c r="U54" s="29">
        <v>75.999999999999986</v>
      </c>
      <c r="V54" s="5">
        <v>7214.0000000000009</v>
      </c>
      <c r="W54" s="28">
        <f t="shared" si="6"/>
        <v>23.829028209024251</v>
      </c>
      <c r="Z54" s="5"/>
      <c r="AA54" s="5"/>
    </row>
    <row r="55" spans="1:27" s="26" customFormat="1" ht="30" customHeight="1" x14ac:dyDescent="0.25">
      <c r="A55" s="23" t="s">
        <v>45</v>
      </c>
      <c r="B55" s="24">
        <v>602</v>
      </c>
      <c r="C55" s="24">
        <v>306900.99999999977</v>
      </c>
      <c r="D55" s="25">
        <f t="shared" ref="D55:W55" si="16">SUM(D56:D65)</f>
        <v>223952</v>
      </c>
      <c r="E55" s="21">
        <f t="shared" si="14"/>
        <v>72.972065910505407</v>
      </c>
      <c r="F55" s="25">
        <f t="shared" si="16"/>
        <v>220575</v>
      </c>
      <c r="G55" s="24">
        <v>926</v>
      </c>
      <c r="H55" s="24">
        <v>85093.000000000116</v>
      </c>
      <c r="I55" s="24">
        <v>341</v>
      </c>
      <c r="J55" s="24">
        <v>476.99999999999989</v>
      </c>
      <c r="K55" s="24">
        <v>36437.000000000022</v>
      </c>
      <c r="L55" s="24">
        <v>210.00000000000003</v>
      </c>
      <c r="M55" s="24">
        <v>56899.999999999956</v>
      </c>
      <c r="N55" s="24">
        <v>21698.999999999982</v>
      </c>
      <c r="O55" s="24">
        <v>700.99999999999886</v>
      </c>
      <c r="P55" s="24">
        <v>2667.9999999999982</v>
      </c>
      <c r="Q55" s="24">
        <v>847</v>
      </c>
      <c r="R55" s="24">
        <v>2737.9999999999973</v>
      </c>
      <c r="S55" s="24">
        <v>11537.999999999993</v>
      </c>
      <c r="T55" s="30">
        <v>2982.0000000000023</v>
      </c>
      <c r="U55" s="30">
        <v>395.0000000000004</v>
      </c>
      <c r="V55" s="24">
        <v>82949</v>
      </c>
      <c r="W55" s="21">
        <f t="shared" si="16"/>
        <v>265.46234400155146</v>
      </c>
      <c r="Z55" s="24"/>
      <c r="AA55" s="24"/>
    </row>
    <row r="56" spans="1:27" ht="15" customHeight="1" x14ac:dyDescent="0.2">
      <c r="A56" s="27" t="s">
        <v>24</v>
      </c>
      <c r="B56" s="5">
        <v>170</v>
      </c>
      <c r="C56" s="5">
        <v>90599.999999999971</v>
      </c>
      <c r="D56" s="5">
        <f t="shared" ref="D56:D65" si="17">F56+U56+T56</f>
        <v>66176.000000000015</v>
      </c>
      <c r="E56" s="28">
        <f t="shared" ref="E56:E66" si="18">D56/C56*100</f>
        <v>73.041942604856544</v>
      </c>
      <c r="F56" s="5">
        <f t="shared" ref="F56:F65" si="19">SUM(G56:S56)</f>
        <v>65351.000000000007</v>
      </c>
      <c r="G56" s="5">
        <v>228.99999999999991</v>
      </c>
      <c r="H56" s="5">
        <v>26348</v>
      </c>
      <c r="I56" s="5">
        <v>91.999999999999972</v>
      </c>
      <c r="J56" s="5">
        <v>168.99999999999997</v>
      </c>
      <c r="K56" s="5">
        <v>10388.000000000007</v>
      </c>
      <c r="L56" s="5">
        <v>50.000000000000028</v>
      </c>
      <c r="M56" s="5">
        <v>16754</v>
      </c>
      <c r="N56" s="5">
        <v>6412.0000000000027</v>
      </c>
      <c r="O56" s="5">
        <v>229.99999999999994</v>
      </c>
      <c r="P56" s="5">
        <v>844.00000000000045</v>
      </c>
      <c r="Q56" s="5">
        <v>172.00000000000003</v>
      </c>
      <c r="R56" s="5">
        <v>680.00000000000057</v>
      </c>
      <c r="S56" s="5">
        <v>2982.9999999999982</v>
      </c>
      <c r="T56" s="29">
        <v>737.00000000000011</v>
      </c>
      <c r="U56" s="29">
        <v>88.000000000000085</v>
      </c>
      <c r="V56" s="5">
        <v>24424.000000000018</v>
      </c>
      <c r="W56" s="28">
        <f t="shared" ref="W56:W97" si="20">V56/C56*100</f>
        <v>26.958057395143513</v>
      </c>
      <c r="Z56" s="5"/>
      <c r="AA56" s="5"/>
    </row>
    <row r="57" spans="1:27" ht="15" customHeight="1" x14ac:dyDescent="0.2">
      <c r="A57" s="27" t="s">
        <v>25</v>
      </c>
      <c r="B57" s="5">
        <v>59</v>
      </c>
      <c r="C57" s="5">
        <v>30088.000000000015</v>
      </c>
      <c r="D57" s="5">
        <f t="shared" si="17"/>
        <v>22746.999999999996</v>
      </c>
      <c r="E57" s="28">
        <f t="shared" si="18"/>
        <v>75.601568731720235</v>
      </c>
      <c r="F57" s="5">
        <f t="shared" si="19"/>
        <v>22404.999999999996</v>
      </c>
      <c r="G57" s="5">
        <v>76.999999999999986</v>
      </c>
      <c r="H57" s="5">
        <v>9390.9999999999964</v>
      </c>
      <c r="I57" s="5">
        <v>49</v>
      </c>
      <c r="J57" s="5">
        <v>43.999999999999993</v>
      </c>
      <c r="K57" s="5">
        <v>4009.0000000000005</v>
      </c>
      <c r="L57" s="5">
        <v>25.999999999999996</v>
      </c>
      <c r="M57" s="5">
        <v>5382.0000000000009</v>
      </c>
      <c r="N57" s="5">
        <v>1798.9999999999998</v>
      </c>
      <c r="O57" s="5">
        <v>60.000000000000007</v>
      </c>
      <c r="P57" s="5">
        <v>268</v>
      </c>
      <c r="Q57" s="5">
        <v>50.000000000000014</v>
      </c>
      <c r="R57" s="5">
        <v>233.00000000000006</v>
      </c>
      <c r="S57" s="5">
        <v>1016.9999999999999</v>
      </c>
      <c r="T57" s="29">
        <v>306.99999999999994</v>
      </c>
      <c r="U57" s="29">
        <v>35.000000000000007</v>
      </c>
      <c r="V57" s="5">
        <v>7341.0000000000009</v>
      </c>
      <c r="W57" s="28">
        <f t="shared" si="20"/>
        <v>24.398431268279705</v>
      </c>
      <c r="Z57" s="5"/>
      <c r="AA57" s="5"/>
    </row>
    <row r="58" spans="1:27" ht="15" customHeight="1" x14ac:dyDescent="0.2">
      <c r="A58" s="27" t="s">
        <v>26</v>
      </c>
      <c r="B58" s="5">
        <v>63</v>
      </c>
      <c r="C58" s="5">
        <v>32558.999999999996</v>
      </c>
      <c r="D58" s="5">
        <f t="shared" si="17"/>
        <v>24646</v>
      </c>
      <c r="E58" s="28">
        <f t="shared" si="18"/>
        <v>75.696428022973677</v>
      </c>
      <c r="F58" s="5">
        <f t="shared" si="19"/>
        <v>24286</v>
      </c>
      <c r="G58" s="5">
        <v>112.00000000000001</v>
      </c>
      <c r="H58" s="5">
        <v>10476.000000000002</v>
      </c>
      <c r="I58" s="5">
        <v>39.000000000000007</v>
      </c>
      <c r="J58" s="5">
        <v>39.999999999999993</v>
      </c>
      <c r="K58" s="5">
        <v>3063</v>
      </c>
      <c r="L58" s="5">
        <v>25</v>
      </c>
      <c r="M58" s="5">
        <v>6288.9999999999982</v>
      </c>
      <c r="N58" s="5">
        <v>2180.0000000000005</v>
      </c>
      <c r="O58" s="5">
        <v>73</v>
      </c>
      <c r="P58" s="5">
        <v>299</v>
      </c>
      <c r="Q58" s="5">
        <v>84.000000000000028</v>
      </c>
      <c r="R58" s="5">
        <v>293</v>
      </c>
      <c r="S58" s="5">
        <v>1312.9999999999998</v>
      </c>
      <c r="T58" s="29">
        <v>317.00000000000006</v>
      </c>
      <c r="U58" s="29">
        <v>43</v>
      </c>
      <c r="V58" s="5">
        <v>7913.0000000000009</v>
      </c>
      <c r="W58" s="28">
        <f t="shared" si="20"/>
        <v>24.30357197702633</v>
      </c>
      <c r="Z58" s="5"/>
      <c r="AA58" s="5"/>
    </row>
    <row r="59" spans="1:27" ht="15" customHeight="1" x14ac:dyDescent="0.2">
      <c r="A59" s="27" t="s">
        <v>27</v>
      </c>
      <c r="B59" s="5">
        <v>48</v>
      </c>
      <c r="C59" s="5">
        <v>24726.000000000007</v>
      </c>
      <c r="D59" s="5">
        <f t="shared" si="17"/>
        <v>17873.999999999996</v>
      </c>
      <c r="E59" s="28">
        <f t="shared" si="18"/>
        <v>72.288279543800016</v>
      </c>
      <c r="F59" s="5">
        <f t="shared" si="19"/>
        <v>17560.999999999996</v>
      </c>
      <c r="G59" s="5">
        <v>70</v>
      </c>
      <c r="H59" s="5">
        <v>6596.9999999999982</v>
      </c>
      <c r="I59" s="5">
        <v>37</v>
      </c>
      <c r="J59" s="5">
        <v>33</v>
      </c>
      <c r="K59" s="5">
        <v>2921</v>
      </c>
      <c r="L59" s="5">
        <v>21</v>
      </c>
      <c r="M59" s="5">
        <v>4679.9999999999991</v>
      </c>
      <c r="N59" s="5">
        <v>1704.0000000000007</v>
      </c>
      <c r="O59" s="5">
        <v>44</v>
      </c>
      <c r="P59" s="5">
        <v>233</v>
      </c>
      <c r="Q59" s="5">
        <v>51.000000000000014</v>
      </c>
      <c r="R59" s="5">
        <v>253</v>
      </c>
      <c r="S59" s="5">
        <v>917</v>
      </c>
      <c r="T59" s="29">
        <v>285.00000000000006</v>
      </c>
      <c r="U59" s="29">
        <v>27.999999999999993</v>
      </c>
      <c r="V59" s="5">
        <v>6852.0000000000036</v>
      </c>
      <c r="W59" s="28">
        <f t="shared" si="20"/>
        <v>27.711720456199956</v>
      </c>
      <c r="Z59" s="5"/>
      <c r="AA59" s="5"/>
    </row>
    <row r="60" spans="1:27" ht="15" customHeight="1" x14ac:dyDescent="0.2">
      <c r="A60" s="27" t="s">
        <v>5</v>
      </c>
      <c r="B60" s="5">
        <v>60</v>
      </c>
      <c r="C60" s="5">
        <v>32185.999999999989</v>
      </c>
      <c r="D60" s="5">
        <f t="shared" si="17"/>
        <v>23078.999999999996</v>
      </c>
      <c r="E60" s="28">
        <f t="shared" si="18"/>
        <v>71.705089169204015</v>
      </c>
      <c r="F60" s="5">
        <f t="shared" si="19"/>
        <v>22728.999999999996</v>
      </c>
      <c r="G60" s="5">
        <v>125.99999999999997</v>
      </c>
      <c r="H60" s="5">
        <v>9126.9999999999982</v>
      </c>
      <c r="I60" s="5">
        <v>44</v>
      </c>
      <c r="J60" s="5">
        <v>47.999999999999993</v>
      </c>
      <c r="K60" s="5">
        <v>4262</v>
      </c>
      <c r="L60" s="5">
        <v>21.000000000000004</v>
      </c>
      <c r="M60" s="5">
        <v>5324.9999999999991</v>
      </c>
      <c r="N60" s="5">
        <v>2030.9999999999995</v>
      </c>
      <c r="O60" s="5">
        <v>73.000000000000028</v>
      </c>
      <c r="P60" s="5">
        <v>350</v>
      </c>
      <c r="Q60" s="5">
        <v>57</v>
      </c>
      <c r="R60" s="5">
        <v>248.00000000000003</v>
      </c>
      <c r="S60" s="5">
        <v>1017</v>
      </c>
      <c r="T60" s="29">
        <v>313</v>
      </c>
      <c r="U60" s="29">
        <v>37.000000000000007</v>
      </c>
      <c r="V60" s="5">
        <v>9107</v>
      </c>
      <c r="W60" s="28">
        <f t="shared" si="20"/>
        <v>28.294910830796006</v>
      </c>
      <c r="Z60" s="5"/>
      <c r="AA60" s="5"/>
    </row>
    <row r="61" spans="1:27" ht="15" customHeight="1" x14ac:dyDescent="0.2">
      <c r="A61" s="27" t="s">
        <v>9</v>
      </c>
      <c r="B61" s="5">
        <v>28</v>
      </c>
      <c r="C61" s="5">
        <v>14503.000000000005</v>
      </c>
      <c r="D61" s="5">
        <f t="shared" si="17"/>
        <v>10822.000000000002</v>
      </c>
      <c r="E61" s="28">
        <f t="shared" si="18"/>
        <v>74.619044335654678</v>
      </c>
      <c r="F61" s="5">
        <f t="shared" si="19"/>
        <v>10671.000000000002</v>
      </c>
      <c r="G61" s="5">
        <v>45.000000000000007</v>
      </c>
      <c r="H61" s="5">
        <v>4312.0000000000009</v>
      </c>
      <c r="I61" s="5">
        <v>8.0000000000000018</v>
      </c>
      <c r="J61" s="5">
        <v>26</v>
      </c>
      <c r="K61" s="5">
        <v>1654.9999999999998</v>
      </c>
      <c r="L61" s="5">
        <v>11.000000000000002</v>
      </c>
      <c r="M61" s="5">
        <v>2861.0000000000009</v>
      </c>
      <c r="N61" s="5">
        <v>901</v>
      </c>
      <c r="O61" s="5">
        <v>40</v>
      </c>
      <c r="P61" s="5">
        <v>127.00000000000003</v>
      </c>
      <c r="Q61" s="5">
        <v>40.000000000000014</v>
      </c>
      <c r="R61" s="5">
        <v>119</v>
      </c>
      <c r="S61" s="5">
        <v>526</v>
      </c>
      <c r="T61" s="29">
        <v>128</v>
      </c>
      <c r="U61" s="29">
        <v>23.000000000000004</v>
      </c>
      <c r="V61" s="5">
        <v>3681</v>
      </c>
      <c r="W61" s="28">
        <f t="shared" si="20"/>
        <v>25.380955664345301</v>
      </c>
      <c r="Z61" s="5"/>
      <c r="AA61" s="5"/>
    </row>
    <row r="62" spans="1:27" ht="15" customHeight="1" x14ac:dyDescent="0.2">
      <c r="A62" s="27" t="s">
        <v>31</v>
      </c>
      <c r="B62" s="5">
        <v>33</v>
      </c>
      <c r="C62" s="5">
        <v>17265.999999999996</v>
      </c>
      <c r="D62" s="5">
        <f t="shared" si="17"/>
        <v>13281</v>
      </c>
      <c r="E62" s="28">
        <f t="shared" si="18"/>
        <v>76.91995829954827</v>
      </c>
      <c r="F62" s="5">
        <f t="shared" si="19"/>
        <v>13130</v>
      </c>
      <c r="G62" s="5">
        <v>33.000000000000014</v>
      </c>
      <c r="H62" s="5">
        <v>4749</v>
      </c>
      <c r="I62" s="5">
        <v>11.999999999999998</v>
      </c>
      <c r="J62" s="5">
        <v>23.000000000000004</v>
      </c>
      <c r="K62" s="5">
        <v>1780.9999999999998</v>
      </c>
      <c r="L62" s="5">
        <v>11.000000000000004</v>
      </c>
      <c r="M62" s="5">
        <v>3829</v>
      </c>
      <c r="N62" s="5">
        <v>1414.0000000000002</v>
      </c>
      <c r="O62" s="5">
        <v>32.000000000000007</v>
      </c>
      <c r="P62" s="5">
        <v>110.00000000000003</v>
      </c>
      <c r="Q62" s="5">
        <v>19</v>
      </c>
      <c r="R62" s="5">
        <v>45.000000000000014</v>
      </c>
      <c r="S62" s="5">
        <v>1072</v>
      </c>
      <c r="T62" s="29">
        <v>129.00000000000006</v>
      </c>
      <c r="U62" s="29">
        <v>22.000000000000004</v>
      </c>
      <c r="V62" s="5">
        <v>3985.0000000000009</v>
      </c>
      <c r="W62" s="28">
        <f t="shared" si="20"/>
        <v>23.080041700451766</v>
      </c>
      <c r="Z62" s="5"/>
      <c r="AA62" s="5"/>
    </row>
    <row r="63" spans="1:27" ht="15" customHeight="1" x14ac:dyDescent="0.2">
      <c r="A63" s="27" t="s">
        <v>62</v>
      </c>
      <c r="B63" s="5">
        <v>29</v>
      </c>
      <c r="C63" s="5">
        <v>15086.999999999998</v>
      </c>
      <c r="D63" s="5">
        <f t="shared" si="17"/>
        <v>11640.999999999998</v>
      </c>
      <c r="E63" s="28">
        <f t="shared" si="18"/>
        <v>77.159143633591825</v>
      </c>
      <c r="F63" s="5">
        <f t="shared" si="19"/>
        <v>11511.999999999998</v>
      </c>
      <c r="G63" s="5">
        <v>39</v>
      </c>
      <c r="H63" s="5">
        <v>5085.9999999999991</v>
      </c>
      <c r="I63" s="5">
        <v>8.9999999999999982</v>
      </c>
      <c r="J63" s="5">
        <v>15.000000000000002</v>
      </c>
      <c r="K63" s="5">
        <v>1349</v>
      </c>
      <c r="L63" s="5">
        <v>14</v>
      </c>
      <c r="M63" s="5">
        <v>3105.9999999999995</v>
      </c>
      <c r="N63" s="5">
        <v>1010.9999999999999</v>
      </c>
      <c r="O63" s="5">
        <v>42.999999999999986</v>
      </c>
      <c r="P63" s="5">
        <v>110.99999999999999</v>
      </c>
      <c r="Q63" s="5">
        <v>23.999999999999996</v>
      </c>
      <c r="R63" s="5">
        <v>91.000000000000014</v>
      </c>
      <c r="S63" s="5">
        <v>613.99999999999989</v>
      </c>
      <c r="T63" s="29">
        <v>118.00000000000001</v>
      </c>
      <c r="U63" s="29">
        <v>10.999999999999998</v>
      </c>
      <c r="V63" s="5">
        <v>3445.9999999999995</v>
      </c>
      <c r="W63" s="28">
        <f t="shared" si="20"/>
        <v>22.840856366408165</v>
      </c>
      <c r="Z63" s="5"/>
      <c r="AA63" s="5"/>
    </row>
    <row r="64" spans="1:27" ht="15" customHeight="1" x14ac:dyDescent="0.2">
      <c r="A64" s="27" t="s">
        <v>10</v>
      </c>
      <c r="B64" s="5">
        <v>38</v>
      </c>
      <c r="C64" s="5">
        <v>20118.999999999993</v>
      </c>
      <c r="D64" s="5">
        <f t="shared" si="17"/>
        <v>15109</v>
      </c>
      <c r="E64" s="28">
        <f t="shared" si="18"/>
        <v>75.098165912818757</v>
      </c>
      <c r="F64" s="5">
        <f t="shared" si="19"/>
        <v>14890</v>
      </c>
      <c r="G64" s="5">
        <v>52</v>
      </c>
      <c r="H64" s="5">
        <v>6207.9999999999991</v>
      </c>
      <c r="I64" s="5">
        <v>22.999999999999993</v>
      </c>
      <c r="J64" s="5">
        <v>20.999999999999993</v>
      </c>
      <c r="K64" s="5">
        <v>2392</v>
      </c>
      <c r="L64" s="5">
        <v>12</v>
      </c>
      <c r="M64" s="5">
        <v>3473</v>
      </c>
      <c r="N64" s="5">
        <v>1125</v>
      </c>
      <c r="O64" s="5">
        <v>58</v>
      </c>
      <c r="P64" s="5">
        <v>186.00000000000003</v>
      </c>
      <c r="Q64" s="5">
        <v>57.000000000000007</v>
      </c>
      <c r="R64" s="5">
        <v>135.99999999999997</v>
      </c>
      <c r="S64" s="5">
        <v>1147</v>
      </c>
      <c r="T64" s="29">
        <v>190</v>
      </c>
      <c r="U64" s="29">
        <v>29</v>
      </c>
      <c r="V64" s="5">
        <v>5010</v>
      </c>
      <c r="W64" s="28">
        <f t="shared" si="20"/>
        <v>24.901834087181278</v>
      </c>
      <c r="Z64" s="5"/>
      <c r="AA64" s="5"/>
    </row>
    <row r="65" spans="1:27" ht="15" customHeight="1" x14ac:dyDescent="0.2">
      <c r="A65" s="27" t="s">
        <v>84</v>
      </c>
      <c r="B65" s="5">
        <v>74</v>
      </c>
      <c r="C65" s="5">
        <v>29767.000000000004</v>
      </c>
      <c r="D65" s="5">
        <f t="shared" si="17"/>
        <v>18577</v>
      </c>
      <c r="E65" s="28">
        <f t="shared" si="18"/>
        <v>62.408035744280575</v>
      </c>
      <c r="F65" s="5">
        <f t="shared" si="19"/>
        <v>18040</v>
      </c>
      <c r="G65" s="5">
        <v>143.00000000000003</v>
      </c>
      <c r="H65" s="5">
        <v>2798.9999999999995</v>
      </c>
      <c r="I65" s="5">
        <v>28</v>
      </c>
      <c r="J65" s="5">
        <v>58</v>
      </c>
      <c r="K65" s="5">
        <v>4617</v>
      </c>
      <c r="L65" s="5">
        <v>19.000000000000004</v>
      </c>
      <c r="M65" s="5">
        <v>5200.9999999999991</v>
      </c>
      <c r="N65" s="5">
        <v>3122.0000000000018</v>
      </c>
      <c r="O65" s="5">
        <v>47.999999999999993</v>
      </c>
      <c r="P65" s="5">
        <v>139.99999999999997</v>
      </c>
      <c r="Q65" s="5">
        <v>293</v>
      </c>
      <c r="R65" s="5">
        <v>639.99999999999989</v>
      </c>
      <c r="S65" s="5">
        <v>931.99999999999989</v>
      </c>
      <c r="T65" s="29">
        <v>458.00000000000011</v>
      </c>
      <c r="U65" s="29">
        <v>78.999999999999986</v>
      </c>
      <c r="V65" s="5">
        <v>11190</v>
      </c>
      <c r="W65" s="28">
        <f t="shared" si="20"/>
        <v>37.591964255719418</v>
      </c>
      <c r="Z65" s="5"/>
      <c r="AA65" s="5"/>
    </row>
    <row r="66" spans="1:27" s="26" customFormat="1" ht="30" customHeight="1" x14ac:dyDescent="0.25">
      <c r="A66" s="23" t="s">
        <v>83</v>
      </c>
      <c r="B66" s="24">
        <v>542</v>
      </c>
      <c r="C66" s="24">
        <v>221688.00000000006</v>
      </c>
      <c r="D66" s="25">
        <f t="shared" ref="D66:F66" si="21">SUM(D67:D77)</f>
        <v>140138</v>
      </c>
      <c r="E66" s="21">
        <f t="shared" si="18"/>
        <v>63.214066616145189</v>
      </c>
      <c r="F66" s="25">
        <f t="shared" si="21"/>
        <v>136325</v>
      </c>
      <c r="G66" s="24">
        <v>494.99999999999949</v>
      </c>
      <c r="H66" s="24">
        <v>20277.000000000022</v>
      </c>
      <c r="I66" s="24">
        <v>271.00000000000023</v>
      </c>
      <c r="J66" s="24">
        <v>283.9999999999996</v>
      </c>
      <c r="K66" s="24">
        <v>26099.000000000011</v>
      </c>
      <c r="L66" s="24">
        <v>152.99999999999989</v>
      </c>
      <c r="M66" s="24">
        <v>55597.999999999978</v>
      </c>
      <c r="N66" s="24">
        <v>17412.999999999975</v>
      </c>
      <c r="O66" s="24">
        <v>247.00000000000011</v>
      </c>
      <c r="P66" s="24">
        <v>1212.0000000000002</v>
      </c>
      <c r="Q66" s="24">
        <v>1853.9999999999995</v>
      </c>
      <c r="R66" s="24">
        <v>1732</v>
      </c>
      <c r="S66" s="24">
        <v>10690.000000000005</v>
      </c>
      <c r="T66" s="30">
        <v>3173.9999999999991</v>
      </c>
      <c r="U66" s="30">
        <v>639.00000000000091</v>
      </c>
      <c r="V66" s="24">
        <v>81550.000000000058</v>
      </c>
      <c r="W66" s="21">
        <f t="shared" si="20"/>
        <v>36.785933383854804</v>
      </c>
      <c r="Z66" s="24"/>
      <c r="AA66" s="24"/>
    </row>
    <row r="67" spans="1:27" ht="15" customHeight="1" x14ac:dyDescent="0.2">
      <c r="A67" s="27" t="s">
        <v>28</v>
      </c>
      <c r="B67" s="5">
        <v>81</v>
      </c>
      <c r="C67" s="5">
        <v>41245</v>
      </c>
      <c r="D67" s="5">
        <f t="shared" ref="D67:D77" si="22">F67+U67+T67</f>
        <v>24524</v>
      </c>
      <c r="E67" s="28">
        <f t="shared" ref="E67:E78" si="23">D67/C67*100</f>
        <v>59.459328403442846</v>
      </c>
      <c r="F67" s="5">
        <f t="shared" ref="F67:F77" si="24">SUM(G67:S67)</f>
        <v>24023</v>
      </c>
      <c r="G67" s="5">
        <v>101</v>
      </c>
      <c r="H67" s="5">
        <v>4553.9999999999991</v>
      </c>
      <c r="I67" s="5">
        <v>38.000000000000007</v>
      </c>
      <c r="J67" s="5">
        <v>57</v>
      </c>
      <c r="K67" s="5">
        <v>4355.9999999999982</v>
      </c>
      <c r="L67" s="5">
        <v>19.999999999999993</v>
      </c>
      <c r="M67" s="5">
        <v>8734.0000000000018</v>
      </c>
      <c r="N67" s="5">
        <v>2960.0000000000018</v>
      </c>
      <c r="O67" s="5">
        <v>55</v>
      </c>
      <c r="P67" s="5">
        <v>202.99999999999997</v>
      </c>
      <c r="Q67" s="5">
        <v>487</v>
      </c>
      <c r="R67" s="5">
        <v>311.00000000000011</v>
      </c>
      <c r="S67" s="5">
        <v>2147</v>
      </c>
      <c r="T67" s="29">
        <v>406</v>
      </c>
      <c r="U67" s="29">
        <v>95.000000000000028</v>
      </c>
      <c r="V67" s="5">
        <v>16721.000000000004</v>
      </c>
      <c r="W67" s="28">
        <f t="shared" si="20"/>
        <v>40.540671596557168</v>
      </c>
      <c r="Z67" s="5"/>
      <c r="AA67" s="5"/>
    </row>
    <row r="68" spans="1:27" ht="15" customHeight="1" x14ac:dyDescent="0.2">
      <c r="A68" s="27" t="s">
        <v>29</v>
      </c>
      <c r="B68" s="5">
        <v>105</v>
      </c>
      <c r="C68" s="5">
        <v>38300</v>
      </c>
      <c r="D68" s="5">
        <f t="shared" si="22"/>
        <v>26008</v>
      </c>
      <c r="E68" s="28">
        <f t="shared" si="23"/>
        <v>67.906005221932119</v>
      </c>
      <c r="F68" s="5">
        <f t="shared" si="24"/>
        <v>25268</v>
      </c>
      <c r="G68" s="5">
        <v>73.000000000000014</v>
      </c>
      <c r="H68" s="5">
        <v>2799.9999999999995</v>
      </c>
      <c r="I68" s="5">
        <v>33.000000000000007</v>
      </c>
      <c r="J68" s="5">
        <v>51.999999999999993</v>
      </c>
      <c r="K68" s="5">
        <v>5186.0000000000009</v>
      </c>
      <c r="L68" s="5">
        <v>36</v>
      </c>
      <c r="M68" s="5">
        <v>11068.999999999998</v>
      </c>
      <c r="N68" s="5">
        <v>3321.0000000000014</v>
      </c>
      <c r="O68" s="5">
        <v>60.999999999999993</v>
      </c>
      <c r="P68" s="5">
        <v>191.99999999999991</v>
      </c>
      <c r="Q68" s="5">
        <v>204.99999999999991</v>
      </c>
      <c r="R68" s="5">
        <v>227.00000000000009</v>
      </c>
      <c r="S68" s="5">
        <v>2013</v>
      </c>
      <c r="T68" s="29">
        <v>625.00000000000011</v>
      </c>
      <c r="U68" s="29">
        <v>115.00000000000006</v>
      </c>
      <c r="V68" s="5">
        <v>12292.000000000002</v>
      </c>
      <c r="W68" s="28">
        <f t="shared" si="20"/>
        <v>32.093994778067895</v>
      </c>
      <c r="Z68" s="5"/>
      <c r="AA68" s="5"/>
    </row>
    <row r="69" spans="1:27" ht="15" customHeight="1" x14ac:dyDescent="0.2">
      <c r="A69" s="27" t="s">
        <v>11</v>
      </c>
      <c r="B69" s="5">
        <v>88</v>
      </c>
      <c r="C69" s="5">
        <v>37832</v>
      </c>
      <c r="D69" s="5">
        <f t="shared" si="22"/>
        <v>23337</v>
      </c>
      <c r="E69" s="28">
        <f t="shared" si="23"/>
        <v>61.685874392049058</v>
      </c>
      <c r="F69" s="5">
        <f t="shared" si="24"/>
        <v>22601</v>
      </c>
      <c r="G69" s="5">
        <v>92.999999999999986</v>
      </c>
      <c r="H69" s="5">
        <v>2791.0000000000005</v>
      </c>
      <c r="I69" s="5">
        <v>91</v>
      </c>
      <c r="J69" s="5">
        <v>53.999999999999979</v>
      </c>
      <c r="K69" s="5">
        <v>4628.9999999999964</v>
      </c>
      <c r="L69" s="5">
        <v>29</v>
      </c>
      <c r="M69" s="5">
        <v>9345.0000000000036</v>
      </c>
      <c r="N69" s="5">
        <v>2752</v>
      </c>
      <c r="O69" s="5">
        <v>38.999999999999993</v>
      </c>
      <c r="P69" s="5">
        <v>206.00000000000011</v>
      </c>
      <c r="Q69" s="5">
        <v>259.99999999999994</v>
      </c>
      <c r="R69" s="5">
        <v>213.00000000000003</v>
      </c>
      <c r="S69" s="5">
        <v>2099.0000000000005</v>
      </c>
      <c r="T69" s="29">
        <v>598.99999999999977</v>
      </c>
      <c r="U69" s="29">
        <v>137</v>
      </c>
      <c r="V69" s="5">
        <v>14495.000000000004</v>
      </c>
      <c r="W69" s="28">
        <f t="shared" si="20"/>
        <v>38.314125607950949</v>
      </c>
      <c r="Z69" s="5"/>
      <c r="AA69" s="5"/>
    </row>
    <row r="70" spans="1:27" ht="15" customHeight="1" x14ac:dyDescent="0.2">
      <c r="A70" s="27" t="s">
        <v>30</v>
      </c>
      <c r="B70" s="5">
        <v>31</v>
      </c>
      <c r="C70" s="5">
        <v>12445.999999999998</v>
      </c>
      <c r="D70" s="5">
        <f t="shared" si="22"/>
        <v>7582</v>
      </c>
      <c r="E70" s="28">
        <f t="shared" si="23"/>
        <v>60.919170817933477</v>
      </c>
      <c r="F70" s="5">
        <f t="shared" si="24"/>
        <v>7332</v>
      </c>
      <c r="G70" s="5">
        <v>33</v>
      </c>
      <c r="H70" s="5">
        <v>1618</v>
      </c>
      <c r="I70" s="5">
        <v>12.999999999999998</v>
      </c>
      <c r="J70" s="5">
        <v>21.999999999999993</v>
      </c>
      <c r="K70" s="5">
        <v>1377</v>
      </c>
      <c r="L70" s="5">
        <v>15</v>
      </c>
      <c r="M70" s="5">
        <v>2492</v>
      </c>
      <c r="N70" s="5">
        <v>937.00000000000023</v>
      </c>
      <c r="O70" s="5">
        <v>11.999999999999998</v>
      </c>
      <c r="P70" s="5">
        <v>55.000000000000007</v>
      </c>
      <c r="Q70" s="5">
        <v>127.00000000000003</v>
      </c>
      <c r="R70" s="5">
        <v>110.00000000000003</v>
      </c>
      <c r="S70" s="5">
        <v>521.00000000000011</v>
      </c>
      <c r="T70" s="29">
        <v>216</v>
      </c>
      <c r="U70" s="29">
        <v>34.000000000000007</v>
      </c>
      <c r="V70" s="5">
        <v>4863.9999999999991</v>
      </c>
      <c r="W70" s="28">
        <f t="shared" si="20"/>
        <v>39.080829182066523</v>
      </c>
      <c r="Z70" s="5"/>
      <c r="AA70" s="5"/>
    </row>
    <row r="71" spans="1:27" ht="15" customHeight="1" x14ac:dyDescent="0.2">
      <c r="A71" s="27" t="s">
        <v>63</v>
      </c>
      <c r="B71" s="5">
        <v>47</v>
      </c>
      <c r="C71" s="5">
        <v>22179.999999999996</v>
      </c>
      <c r="D71" s="5">
        <f t="shared" si="22"/>
        <v>13097</v>
      </c>
      <c r="E71" s="28">
        <f t="shared" si="23"/>
        <v>59.04869251577999</v>
      </c>
      <c r="F71" s="5">
        <f t="shared" si="24"/>
        <v>12741</v>
      </c>
      <c r="G71" s="5">
        <v>43.999999999999993</v>
      </c>
      <c r="H71" s="5">
        <v>1336.0000000000002</v>
      </c>
      <c r="I71" s="5">
        <v>40.000000000000014</v>
      </c>
      <c r="J71" s="5">
        <v>14.999999999999998</v>
      </c>
      <c r="K71" s="5">
        <v>1542.0000000000005</v>
      </c>
      <c r="L71" s="5">
        <v>7.0000000000000027</v>
      </c>
      <c r="M71" s="5">
        <v>5826.9999999999991</v>
      </c>
      <c r="N71" s="5">
        <v>2216</v>
      </c>
      <c r="O71" s="5">
        <v>11.999999999999998</v>
      </c>
      <c r="P71" s="5">
        <v>95</v>
      </c>
      <c r="Q71" s="5">
        <v>241</v>
      </c>
      <c r="R71" s="5">
        <v>118.00000000000001</v>
      </c>
      <c r="S71" s="5">
        <v>1248.0000000000002</v>
      </c>
      <c r="T71" s="29">
        <v>279.00000000000006</v>
      </c>
      <c r="U71" s="29">
        <v>76.999999999999986</v>
      </c>
      <c r="V71" s="5">
        <v>9083</v>
      </c>
      <c r="W71" s="28">
        <f t="shared" si="20"/>
        <v>40.951307484220024</v>
      </c>
      <c r="Z71" s="5"/>
      <c r="AA71" s="5"/>
    </row>
    <row r="72" spans="1:27" ht="15" customHeight="1" x14ac:dyDescent="0.2">
      <c r="A72" s="27" t="s">
        <v>32</v>
      </c>
      <c r="B72" s="5">
        <v>39</v>
      </c>
      <c r="C72" s="5">
        <v>18440.000000000004</v>
      </c>
      <c r="D72" s="5">
        <f t="shared" si="22"/>
        <v>11409</v>
      </c>
      <c r="E72" s="28">
        <f t="shared" si="23"/>
        <v>61.870932754880684</v>
      </c>
      <c r="F72" s="5">
        <f t="shared" si="24"/>
        <v>11052</v>
      </c>
      <c r="G72" s="5">
        <v>32.999999999999993</v>
      </c>
      <c r="H72" s="5">
        <v>2024.9999999999998</v>
      </c>
      <c r="I72" s="5">
        <v>16.000000000000007</v>
      </c>
      <c r="J72" s="5">
        <v>25.000000000000007</v>
      </c>
      <c r="K72" s="5">
        <v>2084</v>
      </c>
      <c r="L72" s="5">
        <v>13.000000000000002</v>
      </c>
      <c r="M72" s="5">
        <v>4515.9999999999991</v>
      </c>
      <c r="N72" s="5">
        <v>1148.0000000000002</v>
      </c>
      <c r="O72" s="5">
        <v>14.999999999999996</v>
      </c>
      <c r="P72" s="5">
        <v>68</v>
      </c>
      <c r="Q72" s="5">
        <v>57.999999999999993</v>
      </c>
      <c r="R72" s="5">
        <v>410.00000000000006</v>
      </c>
      <c r="S72" s="5">
        <v>640.99999999999977</v>
      </c>
      <c r="T72" s="29">
        <v>317.00000000000011</v>
      </c>
      <c r="U72" s="29">
        <v>40.000000000000007</v>
      </c>
      <c r="V72" s="5">
        <v>7030.9999999999982</v>
      </c>
      <c r="W72" s="28">
        <f t="shared" si="20"/>
        <v>38.129067245119288</v>
      </c>
      <c r="Z72" s="5"/>
      <c r="AA72" s="5"/>
    </row>
    <row r="73" spans="1:27" ht="15" customHeight="1" x14ac:dyDescent="0.2">
      <c r="A73" s="27" t="s">
        <v>64</v>
      </c>
      <c r="B73" s="5">
        <v>37</v>
      </c>
      <c r="C73" s="5">
        <v>12801.000000000002</v>
      </c>
      <c r="D73" s="5">
        <f t="shared" si="22"/>
        <v>8442.0000000000018</v>
      </c>
      <c r="E73" s="28">
        <f t="shared" si="23"/>
        <v>65.947972814623867</v>
      </c>
      <c r="F73" s="5">
        <f t="shared" si="24"/>
        <v>8203.0000000000018</v>
      </c>
      <c r="G73" s="5">
        <v>37.000000000000007</v>
      </c>
      <c r="H73" s="5">
        <v>1228.0000000000002</v>
      </c>
      <c r="I73" s="5">
        <v>7</v>
      </c>
      <c r="J73" s="5">
        <v>10</v>
      </c>
      <c r="K73" s="5">
        <v>1896.0000000000002</v>
      </c>
      <c r="L73" s="5">
        <v>10</v>
      </c>
      <c r="M73" s="5">
        <v>3365.0000000000009</v>
      </c>
      <c r="N73" s="5">
        <v>981.00000000000023</v>
      </c>
      <c r="O73" s="5">
        <v>11</v>
      </c>
      <c r="P73" s="5">
        <v>46</v>
      </c>
      <c r="Q73" s="5">
        <v>67</v>
      </c>
      <c r="R73" s="5">
        <v>102</v>
      </c>
      <c r="S73" s="5">
        <v>443</v>
      </c>
      <c r="T73" s="29">
        <v>208.99999999999997</v>
      </c>
      <c r="U73" s="29">
        <v>30.000000000000007</v>
      </c>
      <c r="V73" s="5">
        <v>4358.9999999999991</v>
      </c>
      <c r="W73" s="28">
        <f t="shared" si="20"/>
        <v>34.052027185376133</v>
      </c>
      <c r="Z73" s="5"/>
      <c r="AA73" s="5"/>
    </row>
    <row r="74" spans="1:27" ht="15" customHeight="1" x14ac:dyDescent="0.2">
      <c r="A74" s="27" t="s">
        <v>33</v>
      </c>
      <c r="B74" s="5">
        <v>39</v>
      </c>
      <c r="C74" s="5">
        <v>14132.000000000005</v>
      </c>
      <c r="D74" s="5">
        <f t="shared" si="22"/>
        <v>9941</v>
      </c>
      <c r="E74" s="28">
        <f t="shared" si="23"/>
        <v>70.343900367959208</v>
      </c>
      <c r="F74" s="5">
        <f t="shared" si="24"/>
        <v>9763</v>
      </c>
      <c r="G74" s="5">
        <v>32</v>
      </c>
      <c r="H74" s="5">
        <v>2382</v>
      </c>
      <c r="I74" s="5">
        <v>5.0000000000000009</v>
      </c>
      <c r="J74" s="5">
        <v>17.000000000000004</v>
      </c>
      <c r="K74" s="5">
        <v>1908.0000000000002</v>
      </c>
      <c r="L74" s="5">
        <v>7.0000000000000009</v>
      </c>
      <c r="M74" s="5">
        <v>3287.0000000000005</v>
      </c>
      <c r="N74" s="5">
        <v>999.99999999999977</v>
      </c>
      <c r="O74" s="5">
        <v>12.000000000000004</v>
      </c>
      <c r="P74" s="5">
        <v>143</v>
      </c>
      <c r="Q74" s="5">
        <v>110.00000000000004</v>
      </c>
      <c r="R74" s="5">
        <v>84.000000000000014</v>
      </c>
      <c r="S74" s="5">
        <v>775.99999999999989</v>
      </c>
      <c r="T74" s="29">
        <v>148</v>
      </c>
      <c r="U74" s="29">
        <v>30.000000000000011</v>
      </c>
      <c r="V74" s="5">
        <v>4191.0000000000009</v>
      </c>
      <c r="W74" s="28">
        <f t="shared" si="20"/>
        <v>29.656099632040757</v>
      </c>
      <c r="Z74" s="5"/>
      <c r="AA74" s="5"/>
    </row>
    <row r="75" spans="1:27" ht="15" customHeight="1" x14ac:dyDescent="0.2">
      <c r="A75" s="27" t="s">
        <v>65</v>
      </c>
      <c r="B75" s="5">
        <v>29</v>
      </c>
      <c r="C75" s="5">
        <v>7979.0000000000009</v>
      </c>
      <c r="D75" s="5">
        <f t="shared" si="22"/>
        <v>5647</v>
      </c>
      <c r="E75" s="28">
        <f t="shared" si="23"/>
        <v>70.773279859631515</v>
      </c>
      <c r="F75" s="5">
        <f t="shared" si="24"/>
        <v>5470</v>
      </c>
      <c r="G75" s="5">
        <v>18.000000000000004</v>
      </c>
      <c r="H75" s="5">
        <v>482</v>
      </c>
      <c r="I75" s="5">
        <v>8.0000000000000018</v>
      </c>
      <c r="J75" s="5">
        <v>9.0000000000000018</v>
      </c>
      <c r="K75" s="5">
        <v>1375.9999999999995</v>
      </c>
      <c r="L75" s="5">
        <v>8.0000000000000018</v>
      </c>
      <c r="M75" s="5">
        <v>2550.0000000000005</v>
      </c>
      <c r="N75" s="5">
        <v>486.00000000000006</v>
      </c>
      <c r="O75" s="5">
        <v>9.9999999999999982</v>
      </c>
      <c r="P75" s="5">
        <v>164.00000000000003</v>
      </c>
      <c r="Q75" s="5">
        <v>77.000000000000014</v>
      </c>
      <c r="R75" s="5">
        <v>90</v>
      </c>
      <c r="S75" s="5">
        <v>192</v>
      </c>
      <c r="T75" s="29">
        <v>141.00000000000003</v>
      </c>
      <c r="U75" s="29">
        <v>36.000000000000007</v>
      </c>
      <c r="V75" s="5">
        <v>2332.0000000000005</v>
      </c>
      <c r="W75" s="28">
        <f t="shared" si="20"/>
        <v>29.226720140368467</v>
      </c>
      <c r="Z75" s="5"/>
      <c r="AA75" s="5"/>
    </row>
    <row r="76" spans="1:27" ht="15" customHeight="1" x14ac:dyDescent="0.2">
      <c r="A76" s="27" t="s">
        <v>102</v>
      </c>
      <c r="B76" s="5">
        <v>28</v>
      </c>
      <c r="C76" s="5">
        <v>10846</v>
      </c>
      <c r="D76" s="5">
        <f t="shared" si="22"/>
        <v>6165</v>
      </c>
      <c r="E76" s="28">
        <f t="shared" si="23"/>
        <v>56.841231790521853</v>
      </c>
      <c r="F76" s="5">
        <f t="shared" si="24"/>
        <v>5966</v>
      </c>
      <c r="G76" s="5">
        <v>10</v>
      </c>
      <c r="H76" s="5">
        <v>411.00000000000011</v>
      </c>
      <c r="I76" s="5">
        <v>16</v>
      </c>
      <c r="J76" s="5">
        <v>10.000000000000002</v>
      </c>
      <c r="K76" s="5">
        <v>1099.9999999999998</v>
      </c>
      <c r="L76" s="5">
        <v>4.9999999999999991</v>
      </c>
      <c r="M76" s="5">
        <v>2547</v>
      </c>
      <c r="N76" s="5">
        <v>1255.0000000000005</v>
      </c>
      <c r="O76" s="5">
        <v>4.9999999999999991</v>
      </c>
      <c r="P76" s="5">
        <v>16.000000000000007</v>
      </c>
      <c r="Q76" s="5">
        <v>129.99999999999997</v>
      </c>
      <c r="R76" s="5">
        <v>40.999999999999986</v>
      </c>
      <c r="S76" s="5">
        <v>419.99999999999994</v>
      </c>
      <c r="T76" s="29">
        <v>165.99999999999997</v>
      </c>
      <c r="U76" s="29">
        <v>33</v>
      </c>
      <c r="V76" s="5">
        <v>4681</v>
      </c>
      <c r="W76" s="28">
        <f t="shared" si="20"/>
        <v>43.158768209478147</v>
      </c>
      <c r="Z76" s="5"/>
      <c r="AA76" s="5"/>
    </row>
    <row r="77" spans="1:27" ht="15" customHeight="1" x14ac:dyDescent="0.2">
      <c r="A77" s="27" t="s">
        <v>103</v>
      </c>
      <c r="B77" s="5">
        <v>18</v>
      </c>
      <c r="C77" s="5">
        <v>5486.9999999999973</v>
      </c>
      <c r="D77" s="5">
        <f t="shared" si="22"/>
        <v>3986</v>
      </c>
      <c r="E77" s="28">
        <f t="shared" si="23"/>
        <v>72.644432294514331</v>
      </c>
      <c r="F77" s="5">
        <f t="shared" si="24"/>
        <v>3906</v>
      </c>
      <c r="G77" s="5">
        <v>21</v>
      </c>
      <c r="H77" s="5">
        <v>650</v>
      </c>
      <c r="I77" s="5">
        <v>4.0000000000000009</v>
      </c>
      <c r="J77" s="5">
        <v>13</v>
      </c>
      <c r="K77" s="5">
        <v>645</v>
      </c>
      <c r="L77" s="5">
        <v>3.0000000000000009</v>
      </c>
      <c r="M77" s="5">
        <v>1865.9999999999998</v>
      </c>
      <c r="N77" s="5">
        <v>357.00000000000011</v>
      </c>
      <c r="O77" s="5">
        <v>14.999999999999998</v>
      </c>
      <c r="P77" s="5">
        <v>24.000000000000004</v>
      </c>
      <c r="Q77" s="5">
        <v>91.999999999999972</v>
      </c>
      <c r="R77" s="5">
        <v>26.000000000000004</v>
      </c>
      <c r="S77" s="5">
        <v>190</v>
      </c>
      <c r="T77" s="29">
        <v>68</v>
      </c>
      <c r="U77" s="29">
        <v>12.000000000000002</v>
      </c>
      <c r="V77" s="5">
        <v>1501</v>
      </c>
      <c r="W77" s="28">
        <f t="shared" si="20"/>
        <v>27.355567705485704</v>
      </c>
      <c r="Z77" s="5"/>
      <c r="AA77" s="5"/>
    </row>
    <row r="78" spans="1:27" s="26" customFormat="1" ht="30" customHeight="1" x14ac:dyDescent="0.25">
      <c r="A78" s="23" t="s">
        <v>47</v>
      </c>
      <c r="B78" s="24">
        <v>692</v>
      </c>
      <c r="C78" s="24">
        <v>287254</v>
      </c>
      <c r="D78" s="25">
        <f t="shared" ref="D78:F78" si="25">SUM(D79:D89)</f>
        <v>167515</v>
      </c>
      <c r="E78" s="21">
        <f t="shared" si="23"/>
        <v>58.315985155994341</v>
      </c>
      <c r="F78" s="25">
        <f t="shared" si="25"/>
        <v>162771</v>
      </c>
      <c r="G78" s="24">
        <v>962.99999999999955</v>
      </c>
      <c r="H78" s="24">
        <v>22956.000000000011</v>
      </c>
      <c r="I78" s="24">
        <v>344.99999999999989</v>
      </c>
      <c r="J78" s="24">
        <v>356.99999999999977</v>
      </c>
      <c r="K78" s="24">
        <v>37761.999999999978</v>
      </c>
      <c r="L78" s="24">
        <v>245.99999999999974</v>
      </c>
      <c r="M78" s="24">
        <v>55963.000000000029</v>
      </c>
      <c r="N78" s="24">
        <v>23734.999999999967</v>
      </c>
      <c r="O78" s="24">
        <v>449.00000000000023</v>
      </c>
      <c r="P78" s="24">
        <v>1169.0000000000002</v>
      </c>
      <c r="Q78" s="24">
        <v>1796.9999999999998</v>
      </c>
      <c r="R78" s="24">
        <v>3259.9999999999995</v>
      </c>
      <c r="S78" s="24">
        <v>13769.000000000016</v>
      </c>
      <c r="T78" s="30">
        <v>4007.9999999999955</v>
      </c>
      <c r="U78" s="30">
        <v>735.99999999999989</v>
      </c>
      <c r="V78" s="24">
        <v>119738.99999999997</v>
      </c>
      <c r="W78" s="21">
        <f t="shared" si="20"/>
        <v>41.684014844005645</v>
      </c>
      <c r="Z78" s="24"/>
      <c r="AA78" s="24"/>
    </row>
    <row r="79" spans="1:27" ht="15" customHeight="1" x14ac:dyDescent="0.2">
      <c r="A79" s="27" t="s">
        <v>34</v>
      </c>
      <c r="B79" s="5">
        <v>191</v>
      </c>
      <c r="C79" s="5">
        <v>82239.999999999971</v>
      </c>
      <c r="D79" s="5">
        <f t="shared" ref="D79:D89" si="26">F79+U79+T79</f>
        <v>49618.000000000015</v>
      </c>
      <c r="E79" s="28">
        <f t="shared" ref="E79:E90" si="27">D79/C79*100</f>
        <v>60.333171206225721</v>
      </c>
      <c r="F79" s="5">
        <f t="shared" ref="F79:F89" si="28">SUM(G79:S79)</f>
        <v>48387.000000000015</v>
      </c>
      <c r="G79" s="5">
        <v>245.00000000000009</v>
      </c>
      <c r="H79" s="5">
        <v>6341.0000000000036</v>
      </c>
      <c r="I79" s="5">
        <v>122</v>
      </c>
      <c r="J79" s="5">
        <v>108.99999999999991</v>
      </c>
      <c r="K79" s="5">
        <v>10535.000000000007</v>
      </c>
      <c r="L79" s="5">
        <v>71.000000000000028</v>
      </c>
      <c r="M79" s="5">
        <v>17146.000000000004</v>
      </c>
      <c r="N79" s="5">
        <v>7056.9999999999982</v>
      </c>
      <c r="O79" s="5">
        <v>102.00000000000003</v>
      </c>
      <c r="P79" s="5">
        <v>383.00000000000006</v>
      </c>
      <c r="Q79" s="5">
        <v>444</v>
      </c>
      <c r="R79" s="5">
        <v>600.00000000000034</v>
      </c>
      <c r="S79" s="5">
        <v>5231.9999999999982</v>
      </c>
      <c r="T79" s="29">
        <v>1048.9999999999993</v>
      </c>
      <c r="U79" s="29">
        <v>182.00000000000003</v>
      </c>
      <c r="V79" s="5">
        <v>32622.000000000015</v>
      </c>
      <c r="W79" s="28">
        <f t="shared" si="20"/>
        <v>39.66682879377435</v>
      </c>
      <c r="Z79" s="5"/>
      <c r="AA79" s="5"/>
    </row>
    <row r="80" spans="1:27" ht="15" customHeight="1" x14ac:dyDescent="0.2">
      <c r="A80" s="27" t="s">
        <v>66</v>
      </c>
      <c r="B80" s="5">
        <v>46</v>
      </c>
      <c r="C80" s="5">
        <v>20599.000000000011</v>
      </c>
      <c r="D80" s="5">
        <f t="shared" si="26"/>
        <v>14141</v>
      </c>
      <c r="E80" s="28">
        <f t="shared" si="27"/>
        <v>68.648963541919471</v>
      </c>
      <c r="F80" s="5">
        <f t="shared" si="28"/>
        <v>13928</v>
      </c>
      <c r="G80" s="5">
        <v>51</v>
      </c>
      <c r="H80" s="5">
        <v>2393</v>
      </c>
      <c r="I80" s="5">
        <v>36.000000000000007</v>
      </c>
      <c r="J80" s="5">
        <v>18</v>
      </c>
      <c r="K80" s="5">
        <v>2890</v>
      </c>
      <c r="L80" s="5">
        <v>12.000000000000002</v>
      </c>
      <c r="M80" s="5">
        <v>5016</v>
      </c>
      <c r="N80" s="5">
        <v>2165</v>
      </c>
      <c r="O80" s="5">
        <v>21.999999999999996</v>
      </c>
      <c r="P80" s="5">
        <v>134</v>
      </c>
      <c r="Q80" s="5">
        <v>80</v>
      </c>
      <c r="R80" s="5">
        <v>97.999999999999972</v>
      </c>
      <c r="S80" s="5">
        <v>1013.0000000000001</v>
      </c>
      <c r="T80" s="29">
        <v>190</v>
      </c>
      <c r="U80" s="29">
        <v>23.000000000000004</v>
      </c>
      <c r="V80" s="5">
        <v>6458</v>
      </c>
      <c r="W80" s="28">
        <f t="shared" si="20"/>
        <v>31.351036458080472</v>
      </c>
      <c r="Z80" s="5"/>
      <c r="AA80" s="5"/>
    </row>
    <row r="81" spans="1:27" ht="15" customHeight="1" x14ac:dyDescent="0.2">
      <c r="A81" s="27" t="s">
        <v>19</v>
      </c>
      <c r="B81" s="5">
        <v>79</v>
      </c>
      <c r="C81" s="5">
        <v>29984.999999999996</v>
      </c>
      <c r="D81" s="5">
        <f t="shared" si="26"/>
        <v>16993.999999999996</v>
      </c>
      <c r="E81" s="28">
        <f t="shared" si="27"/>
        <v>56.675004168751045</v>
      </c>
      <c r="F81" s="5">
        <f t="shared" si="28"/>
        <v>16490.999999999996</v>
      </c>
      <c r="G81" s="5">
        <v>99.999999999999901</v>
      </c>
      <c r="H81" s="5">
        <v>2156.0000000000005</v>
      </c>
      <c r="I81" s="5">
        <v>28</v>
      </c>
      <c r="J81" s="5">
        <v>34.999999999999986</v>
      </c>
      <c r="K81" s="5">
        <v>3876.9999999999986</v>
      </c>
      <c r="L81" s="5">
        <v>23</v>
      </c>
      <c r="M81" s="5">
        <v>5741.9999999999982</v>
      </c>
      <c r="N81" s="5">
        <v>2734.9999999999991</v>
      </c>
      <c r="O81" s="5">
        <v>89.999999999999972</v>
      </c>
      <c r="P81" s="5">
        <v>102</v>
      </c>
      <c r="Q81" s="5">
        <v>152.99999999999991</v>
      </c>
      <c r="R81" s="5">
        <v>356.99999999999977</v>
      </c>
      <c r="S81" s="5">
        <v>1093</v>
      </c>
      <c r="T81" s="29">
        <v>418.99999999999994</v>
      </c>
      <c r="U81" s="29">
        <v>84.000000000000014</v>
      </c>
      <c r="V81" s="5">
        <v>12991.000000000002</v>
      </c>
      <c r="W81" s="28">
        <f t="shared" si="20"/>
        <v>43.32499583124897</v>
      </c>
      <c r="Z81" s="5"/>
      <c r="AA81" s="5"/>
    </row>
    <row r="82" spans="1:27" ht="15" customHeight="1" x14ac:dyDescent="0.2">
      <c r="A82" s="27" t="s">
        <v>67</v>
      </c>
      <c r="B82" s="5">
        <v>24</v>
      </c>
      <c r="C82" s="5">
        <v>9616.0000000000018</v>
      </c>
      <c r="D82" s="5">
        <f t="shared" si="26"/>
        <v>6664</v>
      </c>
      <c r="E82" s="28">
        <f t="shared" si="27"/>
        <v>69.301164725457554</v>
      </c>
      <c r="F82" s="5">
        <f t="shared" si="28"/>
        <v>6530</v>
      </c>
      <c r="G82" s="5">
        <v>23</v>
      </c>
      <c r="H82" s="5">
        <v>1225</v>
      </c>
      <c r="I82" s="5">
        <v>5</v>
      </c>
      <c r="J82" s="5">
        <v>11</v>
      </c>
      <c r="K82" s="5">
        <v>1492</v>
      </c>
      <c r="L82" s="5">
        <v>10</v>
      </c>
      <c r="M82" s="5">
        <v>2246.9999999999995</v>
      </c>
      <c r="N82" s="5">
        <v>662</v>
      </c>
      <c r="O82" s="5">
        <v>12</v>
      </c>
      <c r="P82" s="5">
        <v>57.000000000000014</v>
      </c>
      <c r="Q82" s="5">
        <v>65</v>
      </c>
      <c r="R82" s="5">
        <v>182</v>
      </c>
      <c r="S82" s="5">
        <v>539</v>
      </c>
      <c r="T82" s="29">
        <v>114.99999999999999</v>
      </c>
      <c r="U82" s="29">
        <v>19</v>
      </c>
      <c r="V82" s="5">
        <v>2951.9999999999991</v>
      </c>
      <c r="W82" s="28">
        <f t="shared" si="20"/>
        <v>30.698835274542414</v>
      </c>
      <c r="Z82" s="5"/>
      <c r="AA82" s="5"/>
    </row>
    <row r="83" spans="1:27" ht="15" customHeight="1" x14ac:dyDescent="0.2">
      <c r="A83" s="27" t="s">
        <v>68</v>
      </c>
      <c r="B83" s="5">
        <v>54</v>
      </c>
      <c r="C83" s="5">
        <v>20090</v>
      </c>
      <c r="D83" s="5">
        <f t="shared" si="26"/>
        <v>11213</v>
      </c>
      <c r="E83" s="28">
        <f t="shared" si="27"/>
        <v>55.813837730214033</v>
      </c>
      <c r="F83" s="5">
        <f t="shared" si="28"/>
        <v>10785</v>
      </c>
      <c r="G83" s="5">
        <v>97.999999999999986</v>
      </c>
      <c r="H83" s="5">
        <v>1435</v>
      </c>
      <c r="I83" s="5">
        <v>22.999999999999996</v>
      </c>
      <c r="J83" s="5">
        <v>29.999999999999996</v>
      </c>
      <c r="K83" s="5">
        <v>2690.0000000000009</v>
      </c>
      <c r="L83" s="5">
        <v>22</v>
      </c>
      <c r="M83" s="5">
        <v>3307.9999999999991</v>
      </c>
      <c r="N83" s="5">
        <v>2038</v>
      </c>
      <c r="O83" s="5">
        <v>26.999999999999989</v>
      </c>
      <c r="P83" s="5">
        <v>91.000000000000014</v>
      </c>
      <c r="Q83" s="5">
        <v>134.99999999999997</v>
      </c>
      <c r="R83" s="5">
        <v>237.99999999999994</v>
      </c>
      <c r="S83" s="5">
        <v>650</v>
      </c>
      <c r="T83" s="29">
        <v>359.99999999999994</v>
      </c>
      <c r="U83" s="29">
        <v>68.000000000000043</v>
      </c>
      <c r="V83" s="5">
        <v>8877.0000000000036</v>
      </c>
      <c r="W83" s="28">
        <f t="shared" si="20"/>
        <v>44.186162269785981</v>
      </c>
      <c r="Z83" s="5"/>
      <c r="AA83" s="5"/>
    </row>
    <row r="84" spans="1:27" ht="15" customHeight="1" x14ac:dyDescent="0.2">
      <c r="A84" s="27" t="s">
        <v>69</v>
      </c>
      <c r="B84" s="5">
        <v>42</v>
      </c>
      <c r="C84" s="5">
        <v>18024.999999999996</v>
      </c>
      <c r="D84" s="5">
        <f t="shared" si="26"/>
        <v>10010</v>
      </c>
      <c r="E84" s="28">
        <f t="shared" si="27"/>
        <v>55.533980582524279</v>
      </c>
      <c r="F84" s="5">
        <f t="shared" si="28"/>
        <v>9726</v>
      </c>
      <c r="G84" s="5">
        <v>139.99999999999994</v>
      </c>
      <c r="H84" s="5">
        <v>1457</v>
      </c>
      <c r="I84" s="5">
        <v>20</v>
      </c>
      <c r="J84" s="5">
        <v>35</v>
      </c>
      <c r="K84" s="5">
        <v>1640.0000000000002</v>
      </c>
      <c r="L84" s="5">
        <v>12.000000000000004</v>
      </c>
      <c r="M84" s="5">
        <v>3161.0000000000005</v>
      </c>
      <c r="N84" s="5">
        <v>1844</v>
      </c>
      <c r="O84" s="5">
        <v>45</v>
      </c>
      <c r="P84" s="5">
        <v>54.999999999999979</v>
      </c>
      <c r="Q84" s="5">
        <v>145</v>
      </c>
      <c r="R84" s="5">
        <v>387.99999999999994</v>
      </c>
      <c r="S84" s="5">
        <v>783.99999999999977</v>
      </c>
      <c r="T84" s="29">
        <v>237.00000000000003</v>
      </c>
      <c r="U84" s="29">
        <v>47.000000000000007</v>
      </c>
      <c r="V84" s="5">
        <v>8014.9999999999991</v>
      </c>
      <c r="W84" s="28">
        <f t="shared" si="20"/>
        <v>44.466019417475735</v>
      </c>
      <c r="Z84" s="5"/>
      <c r="AA84" s="5"/>
    </row>
    <row r="85" spans="1:27" ht="15" customHeight="1" x14ac:dyDescent="0.2">
      <c r="A85" s="27" t="s">
        <v>36</v>
      </c>
      <c r="B85" s="5">
        <v>66</v>
      </c>
      <c r="C85" s="5">
        <v>27210.000000000004</v>
      </c>
      <c r="D85" s="5">
        <f t="shared" si="26"/>
        <v>14592</v>
      </c>
      <c r="E85" s="28">
        <f t="shared" si="27"/>
        <v>53.627342888643867</v>
      </c>
      <c r="F85" s="5">
        <f t="shared" si="28"/>
        <v>14058</v>
      </c>
      <c r="G85" s="5">
        <v>81.999999999999986</v>
      </c>
      <c r="H85" s="5">
        <v>1353</v>
      </c>
      <c r="I85" s="5">
        <v>28.999999999999996</v>
      </c>
      <c r="J85" s="5">
        <v>31.000000000000007</v>
      </c>
      <c r="K85" s="5">
        <v>4568</v>
      </c>
      <c r="L85" s="5">
        <v>33</v>
      </c>
      <c r="M85" s="5">
        <v>4409.0000000000009</v>
      </c>
      <c r="N85" s="5">
        <v>1585</v>
      </c>
      <c r="O85" s="5">
        <v>52</v>
      </c>
      <c r="P85" s="5">
        <v>127.00000000000003</v>
      </c>
      <c r="Q85" s="5">
        <v>111.00000000000001</v>
      </c>
      <c r="R85" s="5">
        <v>490.00000000000011</v>
      </c>
      <c r="S85" s="5">
        <v>1188</v>
      </c>
      <c r="T85" s="29">
        <v>465.00000000000011</v>
      </c>
      <c r="U85" s="29">
        <v>68.999999999999972</v>
      </c>
      <c r="V85" s="5">
        <v>12617.999999999998</v>
      </c>
      <c r="W85" s="28">
        <f t="shared" si="20"/>
        <v>46.372657111356105</v>
      </c>
      <c r="Z85" s="5"/>
      <c r="AA85" s="5"/>
    </row>
    <row r="86" spans="1:27" ht="15" customHeight="1" x14ac:dyDescent="0.2">
      <c r="A86" s="27" t="s">
        <v>70</v>
      </c>
      <c r="B86" s="5">
        <v>70</v>
      </c>
      <c r="C86" s="5">
        <v>27667</v>
      </c>
      <c r="D86" s="5">
        <f t="shared" si="26"/>
        <v>15742.999999999996</v>
      </c>
      <c r="E86" s="28">
        <f t="shared" si="27"/>
        <v>56.901724075613537</v>
      </c>
      <c r="F86" s="5">
        <f t="shared" si="28"/>
        <v>15234.999999999996</v>
      </c>
      <c r="G86" s="5">
        <v>67.000000000000014</v>
      </c>
      <c r="H86" s="5">
        <v>2837.9999999999991</v>
      </c>
      <c r="I86" s="5">
        <v>25.000000000000004</v>
      </c>
      <c r="J86" s="5">
        <v>30.000000000000004</v>
      </c>
      <c r="K86" s="5">
        <v>4017.9999999999991</v>
      </c>
      <c r="L86" s="5">
        <v>25</v>
      </c>
      <c r="M86" s="5">
        <v>5384.9999999999991</v>
      </c>
      <c r="N86" s="5">
        <v>1220</v>
      </c>
      <c r="O86" s="5">
        <v>44.000000000000036</v>
      </c>
      <c r="P86" s="5">
        <v>96</v>
      </c>
      <c r="Q86" s="5">
        <v>191</v>
      </c>
      <c r="R86" s="5">
        <v>304</v>
      </c>
      <c r="S86" s="5">
        <v>992</v>
      </c>
      <c r="T86" s="29">
        <v>421</v>
      </c>
      <c r="U86" s="29">
        <v>86.999999999999986</v>
      </c>
      <c r="V86" s="5">
        <v>11924</v>
      </c>
      <c r="W86" s="28">
        <f t="shared" si="20"/>
        <v>43.098275924386456</v>
      </c>
      <c r="Z86" s="5"/>
      <c r="AA86" s="5"/>
    </row>
    <row r="87" spans="1:27" ht="15" customHeight="1" x14ac:dyDescent="0.2">
      <c r="A87" s="27" t="s">
        <v>37</v>
      </c>
      <c r="B87" s="5">
        <v>33</v>
      </c>
      <c r="C87" s="5">
        <v>10843.999999999998</v>
      </c>
      <c r="D87" s="5">
        <f t="shared" si="26"/>
        <v>6448</v>
      </c>
      <c r="E87" s="28">
        <f t="shared" si="27"/>
        <v>59.46145333825158</v>
      </c>
      <c r="F87" s="5">
        <f t="shared" si="28"/>
        <v>6261</v>
      </c>
      <c r="G87" s="5">
        <v>54.999999999999979</v>
      </c>
      <c r="H87" s="5">
        <v>668.00000000000011</v>
      </c>
      <c r="I87" s="5">
        <v>6</v>
      </c>
      <c r="J87" s="5">
        <v>6.9999999999999991</v>
      </c>
      <c r="K87" s="5">
        <v>646.99999999999989</v>
      </c>
      <c r="L87" s="5">
        <v>9</v>
      </c>
      <c r="M87" s="5">
        <v>2292.0000000000005</v>
      </c>
      <c r="N87" s="5">
        <v>1649</v>
      </c>
      <c r="O87" s="5">
        <v>10.000000000000002</v>
      </c>
      <c r="P87" s="5">
        <v>25.000000000000004</v>
      </c>
      <c r="Q87" s="5">
        <v>127.99999999999999</v>
      </c>
      <c r="R87" s="5">
        <v>135.00000000000003</v>
      </c>
      <c r="S87" s="5">
        <v>630.00000000000011</v>
      </c>
      <c r="T87" s="29">
        <v>154.99999999999997</v>
      </c>
      <c r="U87" s="29">
        <v>32</v>
      </c>
      <c r="V87" s="5">
        <v>4396</v>
      </c>
      <c r="W87" s="28">
        <f t="shared" si="20"/>
        <v>40.538546661748434</v>
      </c>
      <c r="Z87" s="5"/>
      <c r="AA87" s="5"/>
    </row>
    <row r="88" spans="1:27" ht="15" customHeight="1" x14ac:dyDescent="0.2">
      <c r="A88" s="27" t="s">
        <v>104</v>
      </c>
      <c r="B88" s="5">
        <v>67</v>
      </c>
      <c r="C88" s="5">
        <v>31121.999999999996</v>
      </c>
      <c r="D88" s="5">
        <f t="shared" si="26"/>
        <v>16761</v>
      </c>
      <c r="E88" s="28">
        <f t="shared" si="27"/>
        <v>53.855793329477542</v>
      </c>
      <c r="F88" s="5">
        <f t="shared" si="28"/>
        <v>16194</v>
      </c>
      <c r="G88" s="5">
        <v>87</v>
      </c>
      <c r="H88" s="5">
        <v>2204.0000000000005</v>
      </c>
      <c r="I88" s="5">
        <v>40.000000000000007</v>
      </c>
      <c r="J88" s="5">
        <v>41</v>
      </c>
      <c r="K88" s="5">
        <v>4678.9999999999991</v>
      </c>
      <c r="L88" s="5">
        <v>22.999999999999996</v>
      </c>
      <c r="M88" s="5">
        <v>5303.0000000000009</v>
      </c>
      <c r="N88" s="5">
        <v>1800.9999999999998</v>
      </c>
      <c r="O88" s="5">
        <v>40</v>
      </c>
      <c r="P88" s="5">
        <v>75.000000000000014</v>
      </c>
      <c r="Q88" s="5">
        <v>328.00000000000006</v>
      </c>
      <c r="R88" s="5">
        <v>411.99999999999994</v>
      </c>
      <c r="S88" s="5">
        <v>1160.9999999999995</v>
      </c>
      <c r="T88" s="29">
        <v>459.99999999999989</v>
      </c>
      <c r="U88" s="29">
        <v>107.00000000000001</v>
      </c>
      <c r="V88" s="5">
        <v>14361</v>
      </c>
      <c r="W88" s="28">
        <f t="shared" si="20"/>
        <v>46.144206670522465</v>
      </c>
      <c r="Z88" s="5"/>
      <c r="AA88" s="5"/>
    </row>
    <row r="89" spans="1:27" ht="15" customHeight="1" x14ac:dyDescent="0.2">
      <c r="A89" s="27" t="s">
        <v>105</v>
      </c>
      <c r="B89" s="5">
        <v>20</v>
      </c>
      <c r="C89" s="5">
        <v>9856</v>
      </c>
      <c r="D89" s="5">
        <f t="shared" si="26"/>
        <v>5331</v>
      </c>
      <c r="E89" s="28">
        <f t="shared" si="27"/>
        <v>54.088879870129873</v>
      </c>
      <c r="F89" s="5">
        <f t="shared" si="28"/>
        <v>5176</v>
      </c>
      <c r="G89" s="5">
        <v>15.000000000000002</v>
      </c>
      <c r="H89" s="5">
        <v>886.00000000000011</v>
      </c>
      <c r="I89" s="5">
        <v>11</v>
      </c>
      <c r="J89" s="5">
        <v>10</v>
      </c>
      <c r="K89" s="5">
        <v>726.00000000000023</v>
      </c>
      <c r="L89" s="5">
        <v>6</v>
      </c>
      <c r="M89" s="5">
        <v>1954</v>
      </c>
      <c r="N89" s="5">
        <v>979</v>
      </c>
      <c r="O89" s="5">
        <v>5.0000000000000009</v>
      </c>
      <c r="P89" s="5">
        <v>24.000000000000004</v>
      </c>
      <c r="Q89" s="5">
        <v>16.999999999999996</v>
      </c>
      <c r="R89" s="5">
        <v>55.999999999999986</v>
      </c>
      <c r="S89" s="5">
        <v>487</v>
      </c>
      <c r="T89" s="29">
        <v>137</v>
      </c>
      <c r="U89" s="29">
        <v>18</v>
      </c>
      <c r="V89" s="5">
        <v>4525</v>
      </c>
      <c r="W89" s="28">
        <f t="shared" si="20"/>
        <v>45.911120129870127</v>
      </c>
      <c r="Z89" s="5"/>
      <c r="AA89" s="5"/>
    </row>
    <row r="90" spans="1:27" s="26" customFormat="1" ht="30" customHeight="1" x14ac:dyDescent="0.25">
      <c r="A90" s="23" t="s">
        <v>48</v>
      </c>
      <c r="B90" s="24">
        <v>512</v>
      </c>
      <c r="C90" s="24">
        <v>249284.99999999997</v>
      </c>
      <c r="D90" s="25">
        <f>SUM(D91:D96)</f>
        <v>146717</v>
      </c>
      <c r="E90" s="21">
        <f t="shared" si="27"/>
        <v>58.855125659385855</v>
      </c>
      <c r="F90" s="25">
        <f t="shared" ref="F90" si="29">SUM(F91:F96)</f>
        <v>141489</v>
      </c>
      <c r="G90" s="24">
        <v>1157.0000000000005</v>
      </c>
      <c r="H90" s="24">
        <v>20618.999999999996</v>
      </c>
      <c r="I90" s="24">
        <v>505.99999999999943</v>
      </c>
      <c r="J90" s="24">
        <v>518.99999999999989</v>
      </c>
      <c r="K90" s="24">
        <v>31367.000000000007</v>
      </c>
      <c r="L90" s="24">
        <v>200</v>
      </c>
      <c r="M90" s="24">
        <v>41367.999999999978</v>
      </c>
      <c r="N90" s="24">
        <v>25639.999999999989</v>
      </c>
      <c r="O90" s="24">
        <v>504.00000000000006</v>
      </c>
      <c r="P90" s="24">
        <v>1112.0000000000011</v>
      </c>
      <c r="Q90" s="24">
        <v>4902.0000000000027</v>
      </c>
      <c r="R90" s="24">
        <v>2666.0000000000009</v>
      </c>
      <c r="S90" s="24">
        <v>10929</v>
      </c>
      <c r="T90" s="30">
        <v>4401.9999999999955</v>
      </c>
      <c r="U90" s="30">
        <v>826.00000000000023</v>
      </c>
      <c r="V90" s="24">
        <v>102568</v>
      </c>
      <c r="W90" s="21">
        <f t="shared" si="20"/>
        <v>41.144874340614166</v>
      </c>
      <c r="Z90" s="24"/>
      <c r="AA90" s="24"/>
    </row>
    <row r="91" spans="1:27" ht="15" customHeight="1" x14ac:dyDescent="0.2">
      <c r="A91" s="27" t="s">
        <v>38</v>
      </c>
      <c r="B91" s="5">
        <v>131</v>
      </c>
      <c r="C91" s="5">
        <v>64961.000000000015</v>
      </c>
      <c r="D91" s="5">
        <f t="shared" ref="D91:D97" si="30">F91+U91+T91</f>
        <v>36263</v>
      </c>
      <c r="E91" s="28">
        <f t="shared" ref="E91:E96" si="31">D91/C91*100</f>
        <v>55.822724403873082</v>
      </c>
      <c r="F91" s="5">
        <f t="shared" ref="F91:F97" si="32">SUM(G91:S91)</f>
        <v>34844</v>
      </c>
      <c r="G91" s="5">
        <v>332.99999999999989</v>
      </c>
      <c r="H91" s="5">
        <v>4367</v>
      </c>
      <c r="I91" s="5">
        <v>128.00000000000009</v>
      </c>
      <c r="J91" s="5">
        <v>148</v>
      </c>
      <c r="K91" s="5">
        <v>7713.0000000000018</v>
      </c>
      <c r="L91" s="5">
        <v>57.999999999999993</v>
      </c>
      <c r="M91" s="5">
        <v>11408.000000000002</v>
      </c>
      <c r="N91" s="5">
        <v>5396.9999999999973</v>
      </c>
      <c r="O91" s="5">
        <v>118.99999999999999</v>
      </c>
      <c r="P91" s="5">
        <v>413.00000000000023</v>
      </c>
      <c r="Q91" s="5">
        <v>985.99999999999977</v>
      </c>
      <c r="R91" s="5">
        <v>706.00000000000023</v>
      </c>
      <c r="S91" s="5">
        <v>3068</v>
      </c>
      <c r="T91" s="29">
        <v>1137</v>
      </c>
      <c r="U91" s="29">
        <v>282</v>
      </c>
      <c r="V91" s="5">
        <v>28697.999999999993</v>
      </c>
      <c r="W91" s="28">
        <f t="shared" si="20"/>
        <v>44.177275596126883</v>
      </c>
      <c r="Z91" s="5"/>
      <c r="AA91" s="5"/>
    </row>
    <row r="92" spans="1:27" ht="15" customHeight="1" x14ac:dyDescent="0.2">
      <c r="A92" s="27" t="s">
        <v>71</v>
      </c>
      <c r="B92" s="5">
        <v>164</v>
      </c>
      <c r="C92" s="5">
        <v>83343.999999999971</v>
      </c>
      <c r="D92" s="5">
        <f t="shared" si="30"/>
        <v>52282.999999999985</v>
      </c>
      <c r="E92" s="28">
        <f t="shared" si="31"/>
        <v>62.731570358994048</v>
      </c>
      <c r="F92" s="5">
        <f t="shared" si="32"/>
        <v>50717.999999999985</v>
      </c>
      <c r="G92" s="5">
        <v>407.99999999999994</v>
      </c>
      <c r="H92" s="5">
        <v>10180</v>
      </c>
      <c r="I92" s="5">
        <v>206.99999999999997</v>
      </c>
      <c r="J92" s="5">
        <v>196.99999999999994</v>
      </c>
      <c r="K92" s="5">
        <v>11994.999999999989</v>
      </c>
      <c r="L92" s="5">
        <v>65.000000000000043</v>
      </c>
      <c r="M92" s="5">
        <v>12964.999999999998</v>
      </c>
      <c r="N92" s="5">
        <v>8988.0000000000036</v>
      </c>
      <c r="O92" s="5">
        <v>175.00000000000006</v>
      </c>
      <c r="P92" s="5">
        <v>381</v>
      </c>
      <c r="Q92" s="5">
        <v>1711.9999999999998</v>
      </c>
      <c r="R92" s="5">
        <v>758.99999999999989</v>
      </c>
      <c r="S92" s="5">
        <v>2685.9999999999982</v>
      </c>
      <c r="T92" s="29">
        <v>1382.9999999999998</v>
      </c>
      <c r="U92" s="29">
        <v>182.00000000000003</v>
      </c>
      <c r="V92" s="5">
        <v>31061.000000000007</v>
      </c>
      <c r="W92" s="28">
        <f t="shared" si="20"/>
        <v>37.268429641005973</v>
      </c>
      <c r="Z92" s="5"/>
      <c r="AA92" s="5"/>
    </row>
    <row r="93" spans="1:27" ht="15" customHeight="1" x14ac:dyDescent="0.2">
      <c r="A93" s="27" t="s">
        <v>40</v>
      </c>
      <c r="B93" s="5">
        <v>82</v>
      </c>
      <c r="C93" s="5">
        <v>37389</v>
      </c>
      <c r="D93" s="5">
        <f t="shared" si="30"/>
        <v>21514</v>
      </c>
      <c r="E93" s="28">
        <f t="shared" si="31"/>
        <v>57.540987991120382</v>
      </c>
      <c r="F93" s="5">
        <f t="shared" si="32"/>
        <v>20757</v>
      </c>
      <c r="G93" s="5">
        <v>173.00000000000009</v>
      </c>
      <c r="H93" s="5">
        <v>2528.9999999999991</v>
      </c>
      <c r="I93" s="5">
        <v>61.000000000000014</v>
      </c>
      <c r="J93" s="5">
        <v>62.999999999999993</v>
      </c>
      <c r="K93" s="5">
        <v>4218</v>
      </c>
      <c r="L93" s="5">
        <v>27.000000000000007</v>
      </c>
      <c r="M93" s="5">
        <v>6748</v>
      </c>
      <c r="N93" s="5">
        <v>3896.0000000000009</v>
      </c>
      <c r="O93" s="5">
        <v>95.000000000000014</v>
      </c>
      <c r="P93" s="5">
        <v>147.00000000000003</v>
      </c>
      <c r="Q93" s="5">
        <v>723</v>
      </c>
      <c r="R93" s="5">
        <v>485.00000000000017</v>
      </c>
      <c r="S93" s="5">
        <v>1591.9999999999991</v>
      </c>
      <c r="T93" s="29">
        <v>645.99999999999977</v>
      </c>
      <c r="U93" s="29">
        <v>110.99999999999997</v>
      </c>
      <c r="V93" s="5">
        <v>15875.000000000002</v>
      </c>
      <c r="W93" s="28">
        <f t="shared" si="20"/>
        <v>42.459012008879618</v>
      </c>
      <c r="Z93" s="5"/>
      <c r="AA93" s="5"/>
    </row>
    <row r="94" spans="1:27" ht="15" customHeight="1" x14ac:dyDescent="0.2">
      <c r="A94" s="27" t="s">
        <v>72</v>
      </c>
      <c r="B94" s="5">
        <v>40</v>
      </c>
      <c r="C94" s="5">
        <v>17572</v>
      </c>
      <c r="D94" s="5">
        <f t="shared" si="30"/>
        <v>9298</v>
      </c>
      <c r="E94" s="28">
        <f t="shared" si="31"/>
        <v>52.913726382881855</v>
      </c>
      <c r="F94" s="5">
        <f t="shared" si="32"/>
        <v>8936</v>
      </c>
      <c r="G94" s="5">
        <v>36.000000000000007</v>
      </c>
      <c r="H94" s="5">
        <v>617.99999999999989</v>
      </c>
      <c r="I94" s="5">
        <v>14.000000000000002</v>
      </c>
      <c r="J94" s="5">
        <v>33</v>
      </c>
      <c r="K94" s="5">
        <v>2198</v>
      </c>
      <c r="L94" s="5">
        <v>8.0000000000000018</v>
      </c>
      <c r="M94" s="5">
        <v>2526.9999999999995</v>
      </c>
      <c r="N94" s="5">
        <v>1478</v>
      </c>
      <c r="O94" s="5">
        <v>29.999999999999986</v>
      </c>
      <c r="P94" s="5">
        <v>46.999999999999993</v>
      </c>
      <c r="Q94" s="5">
        <v>431.99999999999989</v>
      </c>
      <c r="R94" s="5">
        <v>112.00000000000001</v>
      </c>
      <c r="S94" s="5">
        <v>1402.9999999999998</v>
      </c>
      <c r="T94" s="29">
        <v>273</v>
      </c>
      <c r="U94" s="29">
        <v>89.000000000000028</v>
      </c>
      <c r="V94" s="5">
        <v>8274.0000000000036</v>
      </c>
      <c r="W94" s="28">
        <f t="shared" si="20"/>
        <v>47.08627361711816</v>
      </c>
      <c r="Z94" s="5"/>
      <c r="AA94" s="5"/>
    </row>
    <row r="95" spans="1:27" ht="15" customHeight="1" x14ac:dyDescent="0.2">
      <c r="A95" s="27" t="s">
        <v>41</v>
      </c>
      <c r="B95" s="5">
        <v>43</v>
      </c>
      <c r="C95" s="5">
        <v>19837</v>
      </c>
      <c r="D95" s="5">
        <f t="shared" si="30"/>
        <v>11704.999999999998</v>
      </c>
      <c r="E95" s="28">
        <f t="shared" si="31"/>
        <v>59.005898069264497</v>
      </c>
      <c r="F95" s="5">
        <f t="shared" si="32"/>
        <v>11172.999999999998</v>
      </c>
      <c r="G95" s="5">
        <v>66</v>
      </c>
      <c r="H95" s="5">
        <v>718.99999999999977</v>
      </c>
      <c r="I95" s="5">
        <v>22.000000000000007</v>
      </c>
      <c r="J95" s="5">
        <v>24.999999999999996</v>
      </c>
      <c r="K95" s="5">
        <v>2007.9999999999995</v>
      </c>
      <c r="L95" s="5">
        <v>17</v>
      </c>
      <c r="M95" s="5">
        <v>3764.9999999999995</v>
      </c>
      <c r="N95" s="5">
        <v>2784.0000000000005</v>
      </c>
      <c r="O95" s="5">
        <v>26.999999999999989</v>
      </c>
      <c r="P95" s="5">
        <v>43</v>
      </c>
      <c r="Q95" s="5">
        <v>506.00000000000006</v>
      </c>
      <c r="R95" s="5">
        <v>132.00000000000006</v>
      </c>
      <c r="S95" s="5">
        <v>1058.9999999999998</v>
      </c>
      <c r="T95" s="29">
        <v>448.00000000000006</v>
      </c>
      <c r="U95" s="29">
        <v>84</v>
      </c>
      <c r="V95" s="5">
        <v>8132.0000000000009</v>
      </c>
      <c r="W95" s="28">
        <f t="shared" si="20"/>
        <v>40.994101930735496</v>
      </c>
      <c r="Z95" s="5"/>
      <c r="AA95" s="5"/>
    </row>
    <row r="96" spans="1:27" ht="15" customHeight="1" x14ac:dyDescent="0.2">
      <c r="A96" s="27" t="s">
        <v>42</v>
      </c>
      <c r="B96" s="5">
        <v>52</v>
      </c>
      <c r="C96" s="5">
        <v>26182</v>
      </c>
      <c r="D96" s="5">
        <f t="shared" si="30"/>
        <v>15654.000000000002</v>
      </c>
      <c r="E96" s="28">
        <f t="shared" si="31"/>
        <v>59.789168130776879</v>
      </c>
      <c r="F96" s="5">
        <f t="shared" si="32"/>
        <v>15061.000000000002</v>
      </c>
      <c r="G96" s="5">
        <v>140.99999999999997</v>
      </c>
      <c r="H96" s="5">
        <v>2205.9999999999995</v>
      </c>
      <c r="I96" s="5">
        <v>74.000000000000028</v>
      </c>
      <c r="J96" s="5">
        <v>53.000000000000007</v>
      </c>
      <c r="K96" s="5">
        <v>3235</v>
      </c>
      <c r="L96" s="5">
        <v>25.000000000000004</v>
      </c>
      <c r="M96" s="5">
        <v>3955.0000000000014</v>
      </c>
      <c r="N96" s="5">
        <v>3097.0000000000005</v>
      </c>
      <c r="O96" s="5">
        <v>58.000000000000028</v>
      </c>
      <c r="P96" s="5">
        <v>80.999999999999986</v>
      </c>
      <c r="Q96" s="5">
        <v>542.99999999999989</v>
      </c>
      <c r="R96" s="5">
        <v>472.00000000000017</v>
      </c>
      <c r="S96" s="5">
        <v>1121.0000000000002</v>
      </c>
      <c r="T96" s="29">
        <v>515</v>
      </c>
      <c r="U96" s="29">
        <v>78</v>
      </c>
      <c r="V96" s="5">
        <v>10528.000000000002</v>
      </c>
      <c r="W96" s="28">
        <f t="shared" si="20"/>
        <v>40.210831869223135</v>
      </c>
      <c r="Z96" s="5"/>
      <c r="AA96" s="5"/>
    </row>
    <row r="97" spans="1:27" s="26" customFormat="1" ht="30" customHeight="1" x14ac:dyDescent="0.25">
      <c r="A97" s="23" t="s">
        <v>112</v>
      </c>
      <c r="B97" s="24">
        <v>61</v>
      </c>
      <c r="C97" s="24">
        <v>12654.000000000002</v>
      </c>
      <c r="D97" s="24">
        <f t="shared" si="30"/>
        <v>2771</v>
      </c>
      <c r="E97" s="21">
        <f>D97/C97*100</f>
        <v>21.898214003477161</v>
      </c>
      <c r="F97" s="25">
        <f t="shared" si="32"/>
        <v>2717</v>
      </c>
      <c r="G97" s="24">
        <v>2.9999999999999996</v>
      </c>
      <c r="H97" s="24">
        <v>1147.0000000000002</v>
      </c>
      <c r="I97" s="24">
        <v>5.0000000000000009</v>
      </c>
      <c r="J97" s="24">
        <v>6.0000000000000009</v>
      </c>
      <c r="K97" s="24">
        <v>403</v>
      </c>
      <c r="L97" s="24">
        <v>2</v>
      </c>
      <c r="M97" s="24">
        <v>737</v>
      </c>
      <c r="N97" s="24">
        <v>245.00000000000009</v>
      </c>
      <c r="O97" s="24">
        <v>4.0000000000000009</v>
      </c>
      <c r="P97" s="24">
        <v>31</v>
      </c>
      <c r="Q97" s="24">
        <v>5.0000000000000009</v>
      </c>
      <c r="R97" s="24">
        <v>16.000000000000007</v>
      </c>
      <c r="S97" s="24">
        <v>113.00000000000004</v>
      </c>
      <c r="T97" s="29">
        <v>52</v>
      </c>
      <c r="U97" s="29">
        <v>2</v>
      </c>
      <c r="V97" s="24">
        <v>9882.9999999999982</v>
      </c>
      <c r="W97" s="21">
        <f t="shared" si="20"/>
        <v>78.101785996522807</v>
      </c>
      <c r="Z97" s="24"/>
      <c r="AA97" s="24"/>
    </row>
    <row r="98" spans="1:27" ht="12" x14ac:dyDescent="0.2">
      <c r="A98" s="32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4"/>
      <c r="U98" s="34"/>
      <c r="V98" s="33"/>
      <c r="W98" s="35"/>
    </row>
    <row r="99" spans="1:27" ht="12" x14ac:dyDescent="0.2">
      <c r="A99" s="36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0"/>
      <c r="U99" s="30"/>
      <c r="V99" s="37"/>
      <c r="W99" s="12"/>
    </row>
    <row r="100" spans="1:27" ht="12" x14ac:dyDescent="0.2">
      <c r="A100" s="4" t="s">
        <v>168</v>
      </c>
      <c r="T100" s="30"/>
      <c r="U100" s="30"/>
    </row>
    <row r="101" spans="1:27" x14ac:dyDescent="0.2">
      <c r="T101" s="30"/>
      <c r="U101" s="30"/>
    </row>
    <row r="102" spans="1:27" x14ac:dyDescent="0.25">
      <c r="B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7" x14ac:dyDescent="0.2">
      <c r="B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</row>
    <row r="104" spans="1:27" x14ac:dyDescent="0.2">
      <c r="T104" s="30"/>
      <c r="U104" s="30"/>
    </row>
    <row r="105" spans="1:27" x14ac:dyDescent="0.2">
      <c r="T105" s="30"/>
      <c r="U105" s="30"/>
    </row>
    <row r="106" spans="1:27" x14ac:dyDescent="0.2">
      <c r="B106" s="38"/>
      <c r="T106" s="30"/>
      <c r="U106" s="30"/>
    </row>
    <row r="107" spans="1:27" x14ac:dyDescent="0.2">
      <c r="T107" s="30"/>
      <c r="U107" s="30"/>
    </row>
    <row r="108" spans="1:27" x14ac:dyDescent="0.2">
      <c r="T108" s="30"/>
      <c r="U108" s="30"/>
    </row>
    <row r="109" spans="1:27" x14ac:dyDescent="0.2">
      <c r="T109" s="30"/>
      <c r="U109" s="30"/>
    </row>
    <row r="110" spans="1:27" x14ac:dyDescent="0.2">
      <c r="T110" s="30"/>
      <c r="U110" s="30"/>
    </row>
    <row r="111" spans="1:27" x14ac:dyDescent="0.2">
      <c r="T111" s="30"/>
      <c r="U111" s="30"/>
    </row>
    <row r="112" spans="1:27" x14ac:dyDescent="0.2">
      <c r="T112" s="30"/>
      <c r="U112" s="30"/>
    </row>
    <row r="113" spans="20:21" x14ac:dyDescent="0.2">
      <c r="T113" s="30"/>
      <c r="U113" s="30"/>
    </row>
    <row r="114" spans="20:21" x14ac:dyDescent="0.2">
      <c r="T114" s="30"/>
      <c r="U114" s="30"/>
    </row>
    <row r="115" spans="20:21" x14ac:dyDescent="0.2">
      <c r="T115" s="30"/>
      <c r="U115" s="30"/>
    </row>
    <row r="116" spans="20:21" x14ac:dyDescent="0.2">
      <c r="T116" s="30"/>
      <c r="U116" s="30"/>
    </row>
    <row r="117" spans="20:21" x14ac:dyDescent="0.2">
      <c r="T117" s="30"/>
      <c r="U117" s="30"/>
    </row>
    <row r="118" spans="20:21" x14ac:dyDescent="0.2">
      <c r="T118" s="30"/>
      <c r="U118" s="30"/>
    </row>
    <row r="119" spans="20:21" x14ac:dyDescent="0.2">
      <c r="T119" s="30"/>
      <c r="U119" s="30"/>
    </row>
    <row r="120" spans="20:21" x14ac:dyDescent="0.2">
      <c r="T120" s="30"/>
      <c r="U120" s="30"/>
    </row>
    <row r="121" spans="20:21" x14ac:dyDescent="0.2">
      <c r="T121" s="30"/>
      <c r="U121" s="30"/>
    </row>
    <row r="122" spans="20:21" x14ac:dyDescent="0.2">
      <c r="T122" s="30"/>
      <c r="U122" s="30"/>
    </row>
    <row r="123" spans="20:21" x14ac:dyDescent="0.2">
      <c r="T123" s="30"/>
      <c r="U123" s="30"/>
    </row>
    <row r="124" spans="20:21" x14ac:dyDescent="0.2">
      <c r="T124" s="30"/>
      <c r="U124" s="30"/>
    </row>
    <row r="125" spans="20:21" x14ac:dyDescent="0.2">
      <c r="T125" s="30"/>
      <c r="U125" s="30"/>
    </row>
    <row r="126" spans="20:21" x14ac:dyDescent="0.2">
      <c r="T126" s="30"/>
      <c r="U126" s="30"/>
    </row>
    <row r="127" spans="20:21" x14ac:dyDescent="0.2">
      <c r="T127" s="30"/>
      <c r="U127" s="30"/>
    </row>
    <row r="128" spans="20:21" x14ac:dyDescent="0.2">
      <c r="T128" s="30"/>
      <c r="U128" s="30"/>
    </row>
    <row r="129" spans="20:21" x14ac:dyDescent="0.2">
      <c r="T129" s="30"/>
      <c r="U129" s="30"/>
    </row>
    <row r="130" spans="20:21" x14ac:dyDescent="0.2">
      <c r="T130" s="30"/>
      <c r="U130" s="30"/>
    </row>
    <row r="131" spans="20:21" x14ac:dyDescent="0.2">
      <c r="T131" s="30"/>
      <c r="U131" s="30"/>
    </row>
    <row r="132" spans="20:21" x14ac:dyDescent="0.2">
      <c r="T132" s="30"/>
      <c r="U132" s="30"/>
    </row>
    <row r="133" spans="20:21" x14ac:dyDescent="0.2">
      <c r="T133" s="30"/>
      <c r="U133" s="30"/>
    </row>
    <row r="134" spans="20:21" x14ac:dyDescent="0.2">
      <c r="T134" s="30"/>
      <c r="U134" s="30"/>
    </row>
    <row r="135" spans="20:21" x14ac:dyDescent="0.2">
      <c r="T135" s="30"/>
      <c r="U135" s="30"/>
    </row>
    <row r="136" spans="20:21" x14ac:dyDescent="0.2">
      <c r="T136" s="30"/>
      <c r="U136" s="30"/>
    </row>
    <row r="137" spans="20:21" x14ac:dyDescent="0.2">
      <c r="T137" s="30"/>
      <c r="U137" s="30"/>
    </row>
    <row r="138" spans="20:21" x14ac:dyDescent="0.2">
      <c r="T138" s="30"/>
      <c r="U138" s="30"/>
    </row>
    <row r="139" spans="20:21" x14ac:dyDescent="0.2">
      <c r="T139" s="30"/>
      <c r="U139" s="30"/>
    </row>
    <row r="140" spans="20:21" x14ac:dyDescent="0.2">
      <c r="T140" s="30"/>
      <c r="U140" s="30"/>
    </row>
    <row r="141" spans="20:21" x14ac:dyDescent="0.2">
      <c r="T141" s="30"/>
      <c r="U141" s="30"/>
    </row>
    <row r="142" spans="20:21" x14ac:dyDescent="0.2">
      <c r="T142" s="30"/>
      <c r="U142" s="30"/>
    </row>
    <row r="143" spans="20:21" x14ac:dyDescent="0.2">
      <c r="T143" s="30"/>
      <c r="U143" s="30"/>
    </row>
    <row r="144" spans="20:21" x14ac:dyDescent="0.2">
      <c r="T144" s="30"/>
      <c r="U144" s="30"/>
    </row>
    <row r="145" spans="20:21" x14ac:dyDescent="0.2">
      <c r="T145" s="30"/>
      <c r="U145" s="30"/>
    </row>
    <row r="146" spans="20:21" x14ac:dyDescent="0.2">
      <c r="T146" s="30"/>
      <c r="U146" s="30"/>
    </row>
    <row r="147" spans="20:21" x14ac:dyDescent="0.2">
      <c r="T147" s="30"/>
      <c r="U147" s="30"/>
    </row>
  </sheetData>
  <mergeCells count="14">
    <mergeCell ref="A1:W1"/>
    <mergeCell ref="A4:A6"/>
    <mergeCell ref="F5:S5"/>
    <mergeCell ref="D4:U4"/>
    <mergeCell ref="C4:C6"/>
    <mergeCell ref="B4:B6"/>
    <mergeCell ref="D5:D6"/>
    <mergeCell ref="E5:E6"/>
    <mergeCell ref="T5:T6"/>
    <mergeCell ref="U5:U6"/>
    <mergeCell ref="V4:W4"/>
    <mergeCell ref="V5:V6"/>
    <mergeCell ref="W5:W6"/>
    <mergeCell ref="A2:W2"/>
  </mergeCells>
  <phoneticPr fontId="3" type="noConversion"/>
  <pageMargins left="0.39370078740157483" right="0.39370078740157483" top="0.39370078740157483" bottom="0.39370078740157483" header="0" footer="0"/>
  <pageSetup paperSize="149" scale="58" fitToHeight="100" orientation="landscape" horizontalDpi="300" verticalDpi="300" r:id="rId1"/>
  <headerFooter alignWithMargins="0"/>
  <colBreaks count="1" manualBreakCount="1">
    <brk id="23" max="1048575" man="1"/>
  </colBreaks>
  <ignoredErrors>
    <ignoredError sqref="E8 E9 D30:F30 D46:E97 F46" formula="1"/>
    <ignoredError sqref="F10 F11:F29 G9:V9 B9:C9 F31:F45" formulaRange="1"/>
    <ignoredError sqref="F47:F85 F86:F97" formula="1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MENUDATOS</vt:lpstr>
      <vt:lpstr>C1.2</vt:lpstr>
      <vt:lpstr>C1.2!Área_de_impresión</vt:lpstr>
      <vt:lpstr>C1.2!Títulos_a_imprimir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</dc:creator>
  <cp:lastModifiedBy>Karina</cp:lastModifiedBy>
  <cp:lastPrinted>2014-09-04T14:11:54Z</cp:lastPrinted>
  <dcterms:created xsi:type="dcterms:W3CDTF">2010-04-29T19:19:38Z</dcterms:created>
  <dcterms:modified xsi:type="dcterms:W3CDTF">2020-07-23T22:46:50Z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a67f754e-6422-4046-907a-1f3cebcf9b4b</vt:lpwstr>
  </property>
</Properties>
</file>