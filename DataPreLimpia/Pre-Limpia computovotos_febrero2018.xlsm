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ina\Documents\AnalisisVotos\Data Pre-Limpia\"/>
    </mc:Choice>
  </mc:AlternateContent>
  <xr:revisionPtr revIDLastSave="0" documentId="8_{B51DA4A4-59EC-44F8-90EF-56F8D90ADD6D}" xr6:coauthVersionLast="45" xr6:coauthVersionMax="45" xr10:uidLastSave="{00000000-0000-0000-0000-000000000000}"/>
  <bookViews>
    <workbookView xWindow="28680" yWindow="-15" windowWidth="29040" windowHeight="15840" firstSheet="1" activeTab="1" xr2:uid="{00000000-000D-0000-FFFF-FFFF00000000}"/>
  </bookViews>
  <sheets>
    <sheet name="MENUDATOS" sheetId="1" state="hidden" r:id="rId1"/>
    <sheet name="C1.2" sheetId="4" r:id="rId2"/>
  </sheets>
  <definedNames>
    <definedName name="_xlnm._FilterDatabase" localSheetId="1" hidden="1">'C1.2'!$A$8:$W$97</definedName>
    <definedName name="_xlnm.Print_Area" localSheetId="1">'C1.2'!$A$1:$W$106</definedName>
    <definedName name="Área_de_impresión12" localSheetId="1">'C1.2'!$A$1:$W$106</definedName>
    <definedName name="Área_de_impresiónC12" localSheetId="1">'C1.2'!$A$2:$W$106</definedName>
    <definedName name="Print_Areac112" localSheetId="1">'C1.2'!$A$1:$W$106</definedName>
    <definedName name="Print_Titles1200" localSheetId="1">'C1.2'!$2:$7</definedName>
    <definedName name="Títulos_a_imprimirC12" localSheetId="1">'C1.2'!$2:$7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7" i="4" l="1"/>
  <c r="D97" i="4" s="1"/>
  <c r="E97" i="4" s="1"/>
  <c r="F96" i="4"/>
  <c r="D96" i="4" s="1"/>
  <c r="E96" i="4" s="1"/>
  <c r="F95" i="4"/>
  <c r="D95" i="4" s="1"/>
  <c r="E95" i="4" s="1"/>
  <c r="F94" i="4"/>
  <c r="D94" i="4" s="1"/>
  <c r="E94" i="4" s="1"/>
  <c r="F93" i="4"/>
  <c r="D93" i="4" s="1"/>
  <c r="E93" i="4" s="1"/>
  <c r="F92" i="4"/>
  <c r="D92" i="4" s="1"/>
  <c r="F91" i="4"/>
  <c r="D91" i="4" s="1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C90" i="4"/>
  <c r="B90" i="4"/>
  <c r="F89" i="4"/>
  <c r="D89" i="4" s="1"/>
  <c r="E89" i="4" s="1"/>
  <c r="F88" i="4"/>
  <c r="D88" i="4" s="1"/>
  <c r="E88" i="4" s="1"/>
  <c r="F87" i="4"/>
  <c r="D87" i="4" s="1"/>
  <c r="E87" i="4" s="1"/>
  <c r="F86" i="4"/>
  <c r="D86" i="4" s="1"/>
  <c r="E86" i="4" s="1"/>
  <c r="F85" i="4"/>
  <c r="D85" i="4" s="1"/>
  <c r="E85" i="4" s="1"/>
  <c r="F84" i="4"/>
  <c r="D84" i="4" s="1"/>
  <c r="E84" i="4" s="1"/>
  <c r="F83" i="4"/>
  <c r="D83" i="4" s="1"/>
  <c r="E83" i="4" s="1"/>
  <c r="F82" i="4"/>
  <c r="D82" i="4" s="1"/>
  <c r="E82" i="4" s="1"/>
  <c r="F81" i="4"/>
  <c r="D81" i="4" s="1"/>
  <c r="E81" i="4" s="1"/>
  <c r="F80" i="4"/>
  <c r="D80" i="4" s="1"/>
  <c r="E80" i="4" s="1"/>
  <c r="F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C78" i="4"/>
  <c r="B78" i="4"/>
  <c r="F77" i="4"/>
  <c r="D77" i="4" s="1"/>
  <c r="E77" i="4" s="1"/>
  <c r="F76" i="4"/>
  <c r="D76" i="4" s="1"/>
  <c r="E76" i="4" s="1"/>
  <c r="F75" i="4"/>
  <c r="D75" i="4" s="1"/>
  <c r="E75" i="4" s="1"/>
  <c r="F74" i="4"/>
  <c r="D74" i="4" s="1"/>
  <c r="E74" i="4" s="1"/>
  <c r="F73" i="4"/>
  <c r="D73" i="4" s="1"/>
  <c r="E73" i="4" s="1"/>
  <c r="F72" i="4"/>
  <c r="D72" i="4" s="1"/>
  <c r="E72" i="4" s="1"/>
  <c r="F71" i="4"/>
  <c r="D71" i="4" s="1"/>
  <c r="E71" i="4" s="1"/>
  <c r="F70" i="4"/>
  <c r="D70" i="4" s="1"/>
  <c r="E70" i="4" s="1"/>
  <c r="F69" i="4"/>
  <c r="D69" i="4" s="1"/>
  <c r="E69" i="4" s="1"/>
  <c r="F68" i="4"/>
  <c r="D68" i="4" s="1"/>
  <c r="E68" i="4" s="1"/>
  <c r="F67" i="4"/>
  <c r="D67" i="4" s="1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C66" i="4"/>
  <c r="B66" i="4"/>
  <c r="F65" i="4"/>
  <c r="D65" i="4" s="1"/>
  <c r="E65" i="4" s="1"/>
  <c r="F64" i="4"/>
  <c r="D64" i="4" s="1"/>
  <c r="E64" i="4" s="1"/>
  <c r="F63" i="4"/>
  <c r="D63" i="4" s="1"/>
  <c r="E63" i="4" s="1"/>
  <c r="F62" i="4"/>
  <c r="D62" i="4" s="1"/>
  <c r="E62" i="4" s="1"/>
  <c r="F61" i="4"/>
  <c r="D61" i="4" s="1"/>
  <c r="F60" i="4"/>
  <c r="D60" i="4" s="1"/>
  <c r="E60" i="4" s="1"/>
  <c r="F59" i="4"/>
  <c r="D59" i="4" s="1"/>
  <c r="E59" i="4" s="1"/>
  <c r="F58" i="4"/>
  <c r="D58" i="4" s="1"/>
  <c r="E58" i="4" s="1"/>
  <c r="F57" i="4"/>
  <c r="D57" i="4" s="1"/>
  <c r="E57" i="4" s="1"/>
  <c r="F56" i="4"/>
  <c r="D56" i="4" s="1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C55" i="4"/>
  <c r="B55" i="4"/>
  <c r="F54" i="4"/>
  <c r="D54" i="4" s="1"/>
  <c r="F53" i="4"/>
  <c r="D53" i="4" s="1"/>
  <c r="E53" i="4" s="1"/>
  <c r="F52" i="4"/>
  <c r="D52" i="4" s="1"/>
  <c r="E52" i="4" s="1"/>
  <c r="F51" i="4"/>
  <c r="D51" i="4" s="1"/>
  <c r="E51" i="4" s="1"/>
  <c r="F50" i="4"/>
  <c r="D50" i="4" s="1"/>
  <c r="E50" i="4" s="1"/>
  <c r="F49" i="4"/>
  <c r="D49" i="4" s="1"/>
  <c r="E49" i="4" s="1"/>
  <c r="F48" i="4"/>
  <c r="D48" i="4" s="1"/>
  <c r="E48" i="4" s="1"/>
  <c r="F47" i="4"/>
  <c r="D47" i="4" s="1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C46" i="4"/>
  <c r="B46" i="4"/>
  <c r="F45" i="4"/>
  <c r="D45" i="4" s="1"/>
  <c r="E45" i="4" s="1"/>
  <c r="F44" i="4"/>
  <c r="D44" i="4" s="1"/>
  <c r="E44" i="4" s="1"/>
  <c r="F43" i="4"/>
  <c r="D43" i="4" s="1"/>
  <c r="E43" i="4" s="1"/>
  <c r="F42" i="4"/>
  <c r="D42" i="4" s="1"/>
  <c r="E42" i="4" s="1"/>
  <c r="F41" i="4"/>
  <c r="D41" i="4" s="1"/>
  <c r="E41" i="4" s="1"/>
  <c r="F40" i="4"/>
  <c r="D40" i="4" s="1"/>
  <c r="E40" i="4" s="1"/>
  <c r="F39" i="4"/>
  <c r="D39" i="4" s="1"/>
  <c r="E39" i="4" s="1"/>
  <c r="F38" i="4"/>
  <c r="D38" i="4" s="1"/>
  <c r="E38" i="4" s="1"/>
  <c r="F37" i="4"/>
  <c r="D37" i="4" s="1"/>
  <c r="E37" i="4" s="1"/>
  <c r="F36" i="4"/>
  <c r="D36" i="4" s="1"/>
  <c r="E36" i="4" s="1"/>
  <c r="F35" i="4"/>
  <c r="D35" i="4" s="1"/>
  <c r="E35" i="4" s="1"/>
  <c r="F34" i="4"/>
  <c r="D34" i="4" s="1"/>
  <c r="E34" i="4" s="1"/>
  <c r="F33" i="4"/>
  <c r="D33" i="4" s="1"/>
  <c r="E33" i="4" s="1"/>
  <c r="F32" i="4"/>
  <c r="D32" i="4" s="1"/>
  <c r="E32" i="4" s="1"/>
  <c r="F31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C30" i="4"/>
  <c r="B30" i="4"/>
  <c r="F29" i="4"/>
  <c r="D29" i="4" s="1"/>
  <c r="E29" i="4" s="1"/>
  <c r="F28" i="4"/>
  <c r="D28" i="4" s="1"/>
  <c r="E28" i="4" s="1"/>
  <c r="F27" i="4"/>
  <c r="D27" i="4" s="1"/>
  <c r="E27" i="4" s="1"/>
  <c r="F26" i="4"/>
  <c r="D26" i="4" s="1"/>
  <c r="E26" i="4" s="1"/>
  <c r="F25" i="4"/>
  <c r="D25" i="4" s="1"/>
  <c r="E25" i="4" s="1"/>
  <c r="F24" i="4"/>
  <c r="D24" i="4" s="1"/>
  <c r="E24" i="4" s="1"/>
  <c r="F23" i="4"/>
  <c r="D23" i="4" s="1"/>
  <c r="E23" i="4" s="1"/>
  <c r="F22" i="4"/>
  <c r="D22" i="4" s="1"/>
  <c r="E22" i="4" s="1"/>
  <c r="F21" i="4"/>
  <c r="D21" i="4" s="1"/>
  <c r="E21" i="4" s="1"/>
  <c r="F20" i="4"/>
  <c r="D20" i="4" s="1"/>
  <c r="E20" i="4" s="1"/>
  <c r="F19" i="4"/>
  <c r="D19" i="4" s="1"/>
  <c r="E19" i="4" s="1"/>
  <c r="F18" i="4"/>
  <c r="D18" i="4" s="1"/>
  <c r="E18" i="4" s="1"/>
  <c r="F17" i="4"/>
  <c r="D17" i="4" s="1"/>
  <c r="E17" i="4" s="1"/>
  <c r="F16" i="4"/>
  <c r="D16" i="4" s="1"/>
  <c r="E16" i="4" s="1"/>
  <c r="F15" i="4"/>
  <c r="D15" i="4" s="1"/>
  <c r="E15" i="4" s="1"/>
  <c r="F14" i="4"/>
  <c r="D14" i="4" s="1"/>
  <c r="E14" i="4" s="1"/>
  <c r="F13" i="4"/>
  <c r="D13" i="4" s="1"/>
  <c r="E13" i="4" s="1"/>
  <c r="F12" i="4"/>
  <c r="D12" i="4" s="1"/>
  <c r="E12" i="4" s="1"/>
  <c r="F11" i="4"/>
  <c r="D11" i="4" s="1"/>
  <c r="E11" i="4" s="1"/>
  <c r="F10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C9" i="4"/>
  <c r="B9" i="4"/>
  <c r="G8" i="4" l="1"/>
  <c r="O8" i="4"/>
  <c r="B8" i="4"/>
  <c r="I8" i="4"/>
  <c r="Q8" i="4"/>
  <c r="J8" i="4"/>
  <c r="R8" i="4"/>
  <c r="M8" i="4"/>
  <c r="U8" i="4"/>
  <c r="K8" i="4"/>
  <c r="S8" i="4"/>
  <c r="C8" i="4"/>
  <c r="F46" i="4"/>
  <c r="N8" i="4"/>
  <c r="V8" i="4"/>
  <c r="L8" i="4"/>
  <c r="T8" i="4"/>
  <c r="D10" i="4"/>
  <c r="F9" i="4"/>
  <c r="H8" i="4"/>
  <c r="P8" i="4"/>
  <c r="D31" i="4"/>
  <c r="F30" i="4"/>
  <c r="D46" i="4"/>
  <c r="E46" i="4" s="1"/>
  <c r="E47" i="4"/>
  <c r="F66" i="4"/>
  <c r="D66" i="4"/>
  <c r="E66" i="4" s="1"/>
  <c r="D90" i="4"/>
  <c r="E90" i="4" s="1"/>
  <c r="D79" i="4"/>
  <c r="F78" i="4"/>
  <c r="E56" i="4"/>
  <c r="D55" i="4"/>
  <c r="E55" i="4" s="1"/>
  <c r="F55" i="4"/>
  <c r="F90" i="4"/>
  <c r="D30" i="4" l="1"/>
  <c r="E30" i="4" s="1"/>
  <c r="E31" i="4"/>
  <c r="F8" i="4"/>
  <c r="E10" i="4"/>
  <c r="D9" i="4"/>
  <c r="E79" i="4"/>
  <c r="D78" i="4"/>
  <c r="E78" i="4" s="1"/>
  <c r="D8" i="4" l="1"/>
  <c r="E8" i="4" s="1"/>
  <c r="E9" i="4"/>
</calcChain>
</file>

<file path=xl/sharedStrings.xml><?xml version="1.0" encoding="utf-8"?>
<sst xmlns="http://schemas.openxmlformats.org/spreadsheetml/2006/main" count="480" uniqueCount="442">
  <si>
    <t>PRIMERA RONDA</t>
  </si>
  <si>
    <t xml:space="preserve">Cuadro 1.1 </t>
  </si>
  <si>
    <t>COSTA RICA: POR PROVINCIA, SEGÚN PARTIDO POLÍTICO</t>
  </si>
  <si>
    <t>C1.1</t>
  </si>
  <si>
    <t>Gráfico 1.1</t>
  </si>
  <si>
    <t>GRÁFICO COSTA RICA: VOTOS SEGÚN PARTIDO POLÍTICO</t>
  </si>
  <si>
    <t>G1.1</t>
  </si>
  <si>
    <t xml:space="preserve">Cuadro 1.2 </t>
  </si>
  <si>
    <t>COSTA RICA: POR  PARTIDO POLÍTICO, SEGÚN PROVINCIA, CANTÓN Y EXTRANJERO</t>
  </si>
  <si>
    <t>C1.2</t>
  </si>
  <si>
    <t>Cuadro 1.3</t>
  </si>
  <si>
    <t>SAN JOSÉ: POR PARTIDO POLÍTICO, SEGÚN CANTÓN Y DISTRITO ADMINISTRATIVO</t>
  </si>
  <si>
    <t>C1.3</t>
  </si>
  <si>
    <t>Cuadro 1.4</t>
  </si>
  <si>
    <t>ALAJUELA: POR PARTIDO POLÍTICO, SEGÚN CANTÓN Y DISTRITO ADMINISTRATIVO</t>
  </si>
  <si>
    <t>C1.4</t>
  </si>
  <si>
    <t>Cuadro 1.5</t>
  </si>
  <si>
    <t>CARTAGO: POR PARTIDO POLÍTICO, SEGÚN CANTÓN Y DISTRITO ADMINISTRATIVO</t>
  </si>
  <si>
    <t>C1.5</t>
  </si>
  <si>
    <t>Cuadro 1.6</t>
  </si>
  <si>
    <t>HEREDIA: POR PARTIDO POLÍTICO, SEGÚN CANTÓN Y DISTRITO ADMINISTRATIVO</t>
  </si>
  <si>
    <t>C1.6</t>
  </si>
  <si>
    <t>Cuadro 1.7</t>
  </si>
  <si>
    <t>GUANACASTE: POR PARTIDO POLÍTICO, SEGÚN CANTÓN Y DISTRITO ADMINISTRATIVO</t>
  </si>
  <si>
    <t>C1.7</t>
  </si>
  <si>
    <t>Cuadro 1.8</t>
  </si>
  <si>
    <t>PUNTARENAS: POR PARTIDO POLÍTICO, SEGÚN CANTÓN Y DISTRITO ADMINISTRATIVO</t>
  </si>
  <si>
    <t>C1.8</t>
  </si>
  <si>
    <t>Cuadro 1.9</t>
  </si>
  <si>
    <t>LIMÓN: POR PARTIDO POLÍTICO, SEGÚN CANTÓN Y DISTRITO ADMINISTRATIVO</t>
  </si>
  <si>
    <t>C1.9</t>
  </si>
  <si>
    <t>Cuadro 1.10</t>
  </si>
  <si>
    <t>VOTO EN EL EXTRANJERO: POR PARTIDO POLÍTICO, SEGÚN CONTINENTE Y PAÍS</t>
  </si>
  <si>
    <t>C1.10</t>
  </si>
  <si>
    <t>Cuadro 1.11</t>
  </si>
  <si>
    <t>SAN JOSÉ: POR PARTIDO POLÍTICO, SEGÚN CANTÓN Y DISTRITO ELECTORAL</t>
  </si>
  <si>
    <t>C1.11</t>
  </si>
  <si>
    <t>Cuadro 1.12</t>
  </si>
  <si>
    <t>ALAJUELA: POR PARTIDO POLÍTICO, SEGÚN CANTÓN Y DISTRITO ELECTORAL</t>
  </si>
  <si>
    <t>C1.12</t>
  </si>
  <si>
    <t>Cuadro 1.13</t>
  </si>
  <si>
    <t>CARTAGO: POR PARTIDO POLÍTICO, SEGÚN CANTÓN Y DISTRITO ELECTORAL</t>
  </si>
  <si>
    <t>C1.13</t>
  </si>
  <si>
    <t>Cuadro 1.14</t>
  </si>
  <si>
    <t>HEREDIA: POR PARTIDO POLÍTICO, SEGÚN CANTÓN Y DISTRITO ELECTORAL</t>
  </si>
  <si>
    <t>C1.14</t>
  </si>
  <si>
    <t>Cuadro 1.15</t>
  </si>
  <si>
    <t>GUANACASTE: POR PARTIDO POLÍTICO, SEGÚN CANTÓN Y DISTRITO ELECTORAL</t>
  </si>
  <si>
    <t>C1.15</t>
  </si>
  <si>
    <t>Cuadro 1.16</t>
  </si>
  <si>
    <t>PUNTARENAS: POR PARTIDO POLÍTICO, SEGÚN CANTÓN Y DISTRITO ELECTORAL</t>
  </si>
  <si>
    <t>C1.16</t>
  </si>
  <si>
    <t>Cuadro 1.17</t>
  </si>
  <si>
    <t>LIMÓN: POR PARTIDO POLÍTICO, SEGÚN CANTÓN Y DISTRITO ELECTORAL</t>
  </si>
  <si>
    <t>C1.17</t>
  </si>
  <si>
    <t>Cuadro 1.18</t>
  </si>
  <si>
    <t>COSTA RICA: POR  PARTIDO POLÍTICO, SEGÚN PROVINCIA Y CENTRO DE VOTACIÓN</t>
  </si>
  <si>
    <t>C1.18</t>
  </si>
  <si>
    <t>Cuadro 1.19</t>
  </si>
  <si>
    <t>SAN JOSÉ: POR PARTIDO POLÍTICO, SEGÚN CENTRO DE VOTACIÓN</t>
  </si>
  <si>
    <t>C1.19</t>
  </si>
  <si>
    <t>Cuadro 1.20</t>
  </si>
  <si>
    <t>ALAJUELA: POR PARTIDO POLÍTICO, SEGÚN CENTRO DE VOTACIÓN</t>
  </si>
  <si>
    <t>C1.20</t>
  </si>
  <si>
    <t>Cuadro 1.21</t>
  </si>
  <si>
    <t>CARTAGO: POR PARTIDO POLÍTICO, SEGÚN CENTRO DE VOTACIÓN</t>
  </si>
  <si>
    <t>C1.21</t>
  </si>
  <si>
    <t>Cuadro 1.22</t>
  </si>
  <si>
    <t>HEREDIA: POR PARTIDO POLÍTICO, SEGÚN CENTRO DE VOTACIÓN</t>
  </si>
  <si>
    <t>C1.22</t>
  </si>
  <si>
    <t>Cuadro 1.23</t>
  </si>
  <si>
    <t>GUANACASTE: POR PARTIDO POLÍTICO, SEGÚN CENTRO DE VOTACIÓN</t>
  </si>
  <si>
    <t>C1.23</t>
  </si>
  <si>
    <t>Cuadro 1.24</t>
  </si>
  <si>
    <t>PUNTARENAS: POR PARTIDO POLÍTICO, SEGÚN CENTRO DE VOTACIÓN</t>
  </si>
  <si>
    <t>C1.24</t>
  </si>
  <si>
    <t>Cuadro 1.25</t>
  </si>
  <si>
    <t>LIMÓN: POR PARTIDO POLÍTICO, SEGÚN CENTRO DE VOTACIÓN</t>
  </si>
  <si>
    <t>C1.25</t>
  </si>
  <si>
    <t>---- CERRAR ----</t>
  </si>
  <si>
    <t>CERRAR</t>
  </si>
  <si>
    <t>DIPUTACIONES</t>
  </si>
  <si>
    <t xml:space="preserve">Cuadro 2.1 </t>
  </si>
  <si>
    <t>C2.1</t>
  </si>
  <si>
    <t xml:space="preserve">Cuadro 2.2 </t>
  </si>
  <si>
    <t>COSTA RICA: POR  PARTIDO POLÍTICO SEGÚN PROVINCIA Y CANTÓN</t>
  </si>
  <si>
    <t>C2.2</t>
  </si>
  <si>
    <t xml:space="preserve">Cuadro 2.3 </t>
  </si>
  <si>
    <t>C2.3</t>
  </si>
  <si>
    <t xml:space="preserve">Cuadro 2.4 </t>
  </si>
  <si>
    <t>C2.4</t>
  </si>
  <si>
    <t xml:space="preserve">Cuadro 2.5 </t>
  </si>
  <si>
    <t>C2.5</t>
  </si>
  <si>
    <t xml:space="preserve">Cuadro 2.6 </t>
  </si>
  <si>
    <t>C2.6</t>
  </si>
  <si>
    <t xml:space="preserve">Cuadro 2.7 </t>
  </si>
  <si>
    <t>C2.7</t>
  </si>
  <si>
    <t xml:space="preserve">Cuadro 2.8 </t>
  </si>
  <si>
    <t>C2.8</t>
  </si>
  <si>
    <t>Cuadro 2.9</t>
  </si>
  <si>
    <t>C2.9</t>
  </si>
  <si>
    <t>Cuadro 2.10</t>
  </si>
  <si>
    <t>C2.10</t>
  </si>
  <si>
    <t>Cuadro 2.11</t>
  </si>
  <si>
    <t>SAN JOSÉ: POR PARTIDO POLÍTICO, SEGÚN CANTÓN Y CENTRO DE VOTACIÓN</t>
  </si>
  <si>
    <t>C2.11</t>
  </si>
  <si>
    <t>Cuadro 2.12</t>
  </si>
  <si>
    <t>ALAJUELA: POR PARTIDO POLÍTICO, SEGÚN CANTÓN Y CENTRO DE VOTACIÓN</t>
  </si>
  <si>
    <t>C2.12</t>
  </si>
  <si>
    <t>Cuadro 2.13</t>
  </si>
  <si>
    <t>CARTAGO: POR PARTIDO POLÍTICO, SEGÚN CANTÓN Y CENTRO DE VOTACIÓN</t>
  </si>
  <si>
    <t>C2.13</t>
  </si>
  <si>
    <t>Cuadro 2.14</t>
  </si>
  <si>
    <t>HEREDIA: POR PARTIDO POLÍTICO, SEGÚN CANTÓN Y CENTRO DE VOTACIÓN</t>
  </si>
  <si>
    <t>C2.14</t>
  </si>
  <si>
    <t>Cuadro 2.15</t>
  </si>
  <si>
    <t>GUANACASTE: POR PARTIDO POLÍTICO, SEGÚN CANTÓN Y CENTRO DE VOTACIÓN</t>
  </si>
  <si>
    <t>C2.15</t>
  </si>
  <si>
    <t>Cuadro 2.16</t>
  </si>
  <si>
    <t>PUNTARENAS: POR PARTIDO POLÍTICO, SEGÚN CANTÓN Y CENTRO DE VOTACIÓN</t>
  </si>
  <si>
    <t>C2.16</t>
  </si>
  <si>
    <t>Cuadro 2.17</t>
  </si>
  <si>
    <t>LIMÓN: POR PARTIDO POLÍTICO, SEGÚN CANTÓN Y CENTRO DE VOTACIÓN</t>
  </si>
  <si>
    <t>C2.17</t>
  </si>
  <si>
    <t xml:space="preserve"> ---- CERRAR ---- </t>
  </si>
  <si>
    <t>SEGUNDA RONDA</t>
  </si>
  <si>
    <t xml:space="preserve">Cuadro 3.1 </t>
  </si>
  <si>
    <t>C3.1</t>
  </si>
  <si>
    <t xml:space="preserve">Cuadro 3.2 </t>
  </si>
  <si>
    <t>C3.2</t>
  </si>
  <si>
    <t>Cuadro 3.3</t>
  </si>
  <si>
    <t>C3.3</t>
  </si>
  <si>
    <t>Cuadro 3.4</t>
  </si>
  <si>
    <t>C3.4</t>
  </si>
  <si>
    <t>Cuadro 3.5</t>
  </si>
  <si>
    <t>C3.5</t>
  </si>
  <si>
    <t>Cuadro 3.6</t>
  </si>
  <si>
    <t>C3.6</t>
  </si>
  <si>
    <t>Cuadro 3.7</t>
  </si>
  <si>
    <t>C3.7</t>
  </si>
  <si>
    <t>Cuadro 3.8</t>
  </si>
  <si>
    <t>C3.8</t>
  </si>
  <si>
    <t>Cuadro 3.9</t>
  </si>
  <si>
    <t>LIMÓN: POR PARTIDO POLÍTICO, SEGÚN DISTRITO ADMINISTRATIVO</t>
  </si>
  <si>
    <t>C3.9</t>
  </si>
  <si>
    <t>Cuadro 3.10</t>
  </si>
  <si>
    <t>C3.10</t>
  </si>
  <si>
    <t>Cuadro 3.11</t>
  </si>
  <si>
    <t>SAN JOSÉ: POR PARTIDO POLÍTICO, SEGÚN DISTRITO ELECTORAL</t>
  </si>
  <si>
    <t>C3.11</t>
  </si>
  <si>
    <t>Cuadro 3.12</t>
  </si>
  <si>
    <t>ALAJUELA: POR PARTIDO POLÍTICO, SEGÚN  DISTRITO ELECTORAL</t>
  </si>
  <si>
    <t>C3.12</t>
  </si>
  <si>
    <t>Cuadro 3.13</t>
  </si>
  <si>
    <t>CARTAGO: POR PARTIDO POLÍTICO, SEGÚN DISTRITO ELECTORAL</t>
  </si>
  <si>
    <t>C3.13</t>
  </si>
  <si>
    <t>Cuadro 3.14</t>
  </si>
  <si>
    <t>HEREDIA: POR PARTIDO POLÍTICO, SEGÚN DISTRITO ELECTORAL</t>
  </si>
  <si>
    <t>C3.14</t>
  </si>
  <si>
    <t>Cuadro 3.15</t>
  </si>
  <si>
    <t>GUANACASTE: POR PARTIDO POLÍTICO, SEGÚN  DISTRITO ELECTORAL</t>
  </si>
  <si>
    <t>C3.15</t>
  </si>
  <si>
    <t>Cuadro 3.16</t>
  </si>
  <si>
    <t>PUNTARENAS: POR PARTIDO POLÍTICO, SEGÚN DISTRITO ELECTORAL</t>
  </si>
  <si>
    <t>C3.16</t>
  </si>
  <si>
    <t>Cuadro 3.17</t>
  </si>
  <si>
    <t>LIMÓN: POR PARTIDO POLÍTICO, SEGÚN DISTRITO ELECTORAL</t>
  </si>
  <si>
    <t>C3.17</t>
  </si>
  <si>
    <t>Cuadro 3.18</t>
  </si>
  <si>
    <t>C3.18</t>
  </si>
  <si>
    <t>Cuadro 3.19</t>
  </si>
  <si>
    <t>C3.19</t>
  </si>
  <si>
    <t>Cuadro 3.20</t>
  </si>
  <si>
    <t>C3.20</t>
  </si>
  <si>
    <t>Cuadro 3.21</t>
  </si>
  <si>
    <t>C3.21</t>
  </si>
  <si>
    <t>Cuadro 3.22</t>
  </si>
  <si>
    <t>C3.22</t>
  </si>
  <si>
    <t>Cuadro 3.23</t>
  </si>
  <si>
    <t>C3.23</t>
  </si>
  <si>
    <t>Cuadro 3.24</t>
  </si>
  <si>
    <t>C3.24</t>
  </si>
  <si>
    <t>Cuadro 3.25</t>
  </si>
  <si>
    <t>C3.25</t>
  </si>
  <si>
    <t>CANDIDATURAS</t>
  </si>
  <si>
    <t xml:space="preserve">Cuadro 4.1 </t>
  </si>
  <si>
    <t>CANDIDATURAS PRESIDENCIA Y VICEPRESIDENCIAS, POR SEXO, SEGÚN GRUPOS DE EDAD</t>
  </si>
  <si>
    <t>C4.1</t>
  </si>
  <si>
    <t xml:space="preserve">Cuadro 4.2 </t>
  </si>
  <si>
    <t>CANDIDATURAS A DIPUTACIONES, POR CARGO Y SEXO, SEGÚN GRUPOS DE EDAD</t>
  </si>
  <si>
    <t>C4.2</t>
  </si>
  <si>
    <t>Gráfico 4.1</t>
  </si>
  <si>
    <t>GRÁFICO CANDIDATURAS A DIPUTACIONES, POR SEXO Y GRUPOS DE EDAD</t>
  </si>
  <si>
    <t>G4.1</t>
  </si>
  <si>
    <t>Cuadro 4.3</t>
  </si>
  <si>
    <t>EDAD PROMEDIO DE CANDIDATOS INCRITOS A DIPUTACIONES, POR CARGO, SEGÚN PARTIDO</t>
  </si>
  <si>
    <t>C4.3</t>
  </si>
  <si>
    <t>Cuadro 4.4</t>
  </si>
  <si>
    <t>CANDIDATURAS A DIPUTACIONES 2006, 2010,  2014 y 2018 SEGÚN PROVINCIA</t>
  </si>
  <si>
    <t>C4.4</t>
  </si>
  <si>
    <t>Cuadro 4.5</t>
  </si>
  <si>
    <t>CANDIDATURAS POR SEXO, SEGÚN TIPO DE PUESTO</t>
  </si>
  <si>
    <t>C4.5</t>
  </si>
  <si>
    <t>Gráfico 4.2</t>
  </si>
  <si>
    <t>GRÁFICO TIPOS DE CANDIDATURAS POR SEXO</t>
  </si>
  <si>
    <t>G4.2</t>
  </si>
  <si>
    <t>Cuadro 4.6</t>
  </si>
  <si>
    <t>CANDIDATURAS A DIPUTACIONES EN PROPIEDAD Y SUPLENCIA, POR SEXO, SEGÚN PARTIDO</t>
  </si>
  <si>
    <t>C4.6</t>
  </si>
  <si>
    <t>Cuadro 4.7</t>
  </si>
  <si>
    <t>CANDIDATURAS A DIPUTACIONES EN PROPIEDAD Y SUPLENCIA, POR SEXO, SEGÚN PROVINCIA</t>
  </si>
  <si>
    <t>C4.7</t>
  </si>
  <si>
    <t>Cuadro 4.8</t>
  </si>
  <si>
    <t>DIPUTADOS/AS ELECTOS/AS, POR PROVINCIA, SEGÚN PARTIDO</t>
  </si>
  <si>
    <t>C4.8</t>
  </si>
  <si>
    <t>Gráfico 4.3</t>
  </si>
  <si>
    <t>GRÁFICO DIPUTADOS/AS ELECTOS/AS, POR PARTIDO POLÍTICO</t>
  </si>
  <si>
    <t>G4.3</t>
  </si>
  <si>
    <t>Cuadro 4.9</t>
  </si>
  <si>
    <t>DIPUTADOS/AS ELECTOS/AS Y EDAD PROMEDIO, POR SEXO, SEGÚN PARTIDO</t>
  </si>
  <si>
    <t>C4.9</t>
  </si>
  <si>
    <t>Cuadro 4.10</t>
  </si>
  <si>
    <t>EDAD PROMEDIO DIPUTADOS/AS ELECTOS/AS, POR PROVINCIA, SEGÚN PARTIDO</t>
  </si>
  <si>
    <t>C4.10</t>
  </si>
  <si>
    <t>Cuadro 4.11</t>
  </si>
  <si>
    <t>DIPUTADOS/AS ELECTOS/AS, POR GRUPO DE EDAD, SEGÚN PARTIDO</t>
  </si>
  <si>
    <t>C4.11</t>
  </si>
  <si>
    <t>Cuadro 4.12</t>
  </si>
  <si>
    <t>DIPUTADOS/AS ELECTOS/AS, POR SEXO, SEGÚN GRUPO DE EDAD</t>
  </si>
  <si>
    <t>C4.12</t>
  </si>
  <si>
    <t>Gráfico 4.4</t>
  </si>
  <si>
    <t>DISTRIBUCIÓN DE FRECUENCIAS DE DIPUTACIONES ELECTAS, SEGÚN GRUPO DE EDAD</t>
  </si>
  <si>
    <t>G4.4</t>
  </si>
  <si>
    <t>Tabla 4.1</t>
  </si>
  <si>
    <t>LISTA DE DIPUTADOS/AS ELECTOS/AS POR PROVINCIA Y PARTIDO</t>
  </si>
  <si>
    <t>T4.1</t>
  </si>
  <si>
    <t>RESULTADOS EN ZONAS ESPECIALES</t>
  </si>
  <si>
    <t xml:space="preserve">Cuadro 5.1 </t>
  </si>
  <si>
    <t>RESULTADOS PRESIDENCIA PRIMERA RONDA: CENTROS PENITENCIARIOS, POR PARTIDO POLÍTICO</t>
  </si>
  <si>
    <t>C5.1</t>
  </si>
  <si>
    <t xml:space="preserve">Cuadro 5.2 </t>
  </si>
  <si>
    <t>RESULTADOS PRESIDENCIA PRIMERA RONDA: HOGARES DE ANCIANOS, POR PARTIDO POLÍTICO</t>
  </si>
  <si>
    <t>C5.2</t>
  </si>
  <si>
    <t>Cuadro 5.3</t>
  </si>
  <si>
    <t>RESULTADOS PRESIDENCIA PRIMERA RONDA: ZONAS INDÍGENAS, POR PARTIDO POLÍTICO</t>
  </si>
  <si>
    <t>C5.3</t>
  </si>
  <si>
    <t>Cuadro 5.4</t>
  </si>
  <si>
    <t>RESULTADOS PRESIDENCIA PRIMERA RONDA: CENTROS DE SALUD MENTAL, POR PARTIDO POLÍTICO</t>
  </si>
  <si>
    <t>C5.4</t>
  </si>
  <si>
    <t>Cuadro 5.5</t>
  </si>
  <si>
    <t>RESULTADOS DIPUTACIONES: CENTROS PENITENCIARIOS, POR PARTIDO POLÍTICO</t>
  </si>
  <si>
    <t>C5.5</t>
  </si>
  <si>
    <t>Cuadro 5.6</t>
  </si>
  <si>
    <t>RESULTADOS DIPUTACIONES: HOGARES DE ANCIANOS, POR PARTIDO POLÍTICO</t>
  </si>
  <si>
    <t>C5.6</t>
  </si>
  <si>
    <t>Cuadro 5.7</t>
  </si>
  <si>
    <t>RESULTADOS DIPUTACIONES: ZONAS INDÍGENAS, POR PARTIDO POLÍTICO</t>
  </si>
  <si>
    <t>C5.7</t>
  </si>
  <si>
    <t>Cuadro 5.8</t>
  </si>
  <si>
    <t>RESULTADOS DIPUTACIONES: CENTROS DE SALUD MENTAL, POR PARTIDO POLÍTICO</t>
  </si>
  <si>
    <t>C5.8</t>
  </si>
  <si>
    <t>Cuadro 5.9</t>
  </si>
  <si>
    <t>RESULTADOS PRESIDENCIA SEGUNDA RONDA: CENTROS PENITENCIARIOS, POR PARTIDO POLÍTICO</t>
  </si>
  <si>
    <t>C5.9</t>
  </si>
  <si>
    <t>Cuadro 5.10</t>
  </si>
  <si>
    <t>RESULTADOS PRESIDENCIA SEGUNDA RONDA: HOGARES DE ANCIANOS, POR PARTIDO POLÍTICO</t>
  </si>
  <si>
    <t>C5.10</t>
  </si>
  <si>
    <t>Cuadro 5.11</t>
  </si>
  <si>
    <t>RESULTADOS PRESIDENCIA SEGUNDA RONDA: ZONAS INDÍGENAS, POR PARTIDO POLÍTICO</t>
  </si>
  <si>
    <t>C5.11</t>
  </si>
  <si>
    <t>Cuadro 5.12</t>
  </si>
  <si>
    <t>RESULTADOS PRESIDENCIA SEGUNDA RONDA: CENTROS DE SALUD MENTAL, POR PARTIDO POLÍTICO</t>
  </si>
  <si>
    <t>C5.12</t>
  </si>
  <si>
    <t>QUIEBRE DEL VOTO</t>
  </si>
  <si>
    <t>Cuadro 6.1</t>
  </si>
  <si>
    <t>INDICADOR 1: POR PROVINCIA, SEGÚN PARTIDO</t>
  </si>
  <si>
    <t>C6.1</t>
  </si>
  <si>
    <t>Cuadro 6.2</t>
  </si>
  <si>
    <t>INDICADOR 1: POR PARTIDO, SEGÚN PROVINCIA Y CANTÓN</t>
  </si>
  <si>
    <t>C6.2</t>
  </si>
  <si>
    <t>Cuadro 6.3</t>
  </si>
  <si>
    <t>INDICADOR 2: POR PROVINCIA, SEGÚN PARTIDO</t>
  </si>
  <si>
    <t>C6.3</t>
  </si>
  <si>
    <t>Cuadro 6.4</t>
  </si>
  <si>
    <t>INDICADOR 2: POR PARTIDO, SEGÚN PROVINCIA Y CANTÓN</t>
  </si>
  <si>
    <t>C6.4</t>
  </si>
  <si>
    <t>Cuadro 6.5</t>
  </si>
  <si>
    <t>INDICADOR 2: POR PARTIDO, SEGÚN PROVINCIA, CANTÓN Y DISTRITO ADMINISTRATIVO</t>
  </si>
  <si>
    <t>C6.5</t>
  </si>
  <si>
    <t>COSTA RICA</t>
  </si>
  <si>
    <t>EXTRANJERO</t>
  </si>
  <si>
    <t>SAN JOSÉ</t>
  </si>
  <si>
    <t>ALAJUELA</t>
  </si>
  <si>
    <t>CARTAGO</t>
  </si>
  <si>
    <t>HEREDIA</t>
  </si>
  <si>
    <t>PUNTARENAS</t>
  </si>
  <si>
    <t>ELECTORADO</t>
  </si>
  <si>
    <t>VOTOS RECIBIDOS</t>
  </si>
  <si>
    <t>VOTOS VÁLIDOS</t>
  </si>
  <si>
    <t>ACCESIBILIDAD SIN EXCLUSIÓN</t>
  </si>
  <si>
    <t>ACCIÓN CIUDADANA</t>
  </si>
  <si>
    <t>ALIANZA DEMÓCRATA CRISTIANA</t>
  </si>
  <si>
    <t>DE LOS TRABAJADORES</t>
  </si>
  <si>
    <t>FRENTE AMPLIO</t>
  </si>
  <si>
    <t>INTEGRACIÓN NACIONAL</t>
  </si>
  <si>
    <t>LIBERACIÓN NACIONAL</t>
  </si>
  <si>
    <t>MOVIMIENTO LIBERTARIO</t>
  </si>
  <si>
    <t>NUEVA GENERACIÓN</t>
  </si>
  <si>
    <t>RENOVACIÓN COSTARRICENSE</t>
  </si>
  <si>
    <t>REPUBLICANO SOCIAL CRISTIANO</t>
  </si>
  <si>
    <t>RESTAURACIÓN NACIONAL</t>
  </si>
  <si>
    <t>UNIDAD SOCIAL CRISTIANA</t>
  </si>
  <si>
    <t>ABSTENCIONISMO</t>
  </si>
  <si>
    <t>FUENTE: Tribunal Supremo de Elecciones.</t>
  </si>
  <si>
    <t>CUADRO 1.2 COSTA RICA: JUNTAS, ELECTORADO, PARTICIPACIÓN, VOTOS POR PARTIDO, NULOS, BLANCOS Y ABSTENCIONISMO, PARA PRESIDENCIA
Y VICEPRESIDENCIAS DE LA REPÚBLICA, SEGÚN  PROVINCIA, CANTÓN Y EXTRANJERO
 ELECCIONES 4 DE FEBRERO 2018</t>
  </si>
  <si>
    <t>PROVINCIA, CANTÓN Y EXTRANJERO</t>
  </si>
  <si>
    <t>JUNTAS</t>
  </si>
  <si>
    <t>TOTAL GENERAL</t>
  </si>
  <si>
    <t>%
PARTICIPACIÓN</t>
  </si>
  <si>
    <t>NULOS</t>
  </si>
  <si>
    <t>BLANCOS</t>
  </si>
  <si>
    <t>ABSOLUTO</t>
  </si>
  <si>
    <t>%</t>
  </si>
  <si>
    <t>TOTAL</t>
  </si>
  <si>
    <t>PROVINCIA SAN JOSÉ</t>
  </si>
  <si>
    <t>ESCAZÚ</t>
  </si>
  <si>
    <t>DESAMPARADOS</t>
  </si>
  <si>
    <t>PURISCAL</t>
  </si>
  <si>
    <t>TARRAZÚ</t>
  </si>
  <si>
    <t>ASERRÍ</t>
  </si>
  <si>
    <t>MORA</t>
  </si>
  <si>
    <t>GOICOECHEA</t>
  </si>
  <si>
    <t>SANTA ANA</t>
  </si>
  <si>
    <t>ALAJUELITA</t>
  </si>
  <si>
    <t>VÁZQUEZ DE CORONADO</t>
  </si>
  <si>
    <t>ACOSTA</t>
  </si>
  <si>
    <t>TIBÁS</t>
  </si>
  <si>
    <t>MORAVIA</t>
  </si>
  <si>
    <t>MONTES DE OCA</t>
  </si>
  <si>
    <t>TURRUBARES</t>
  </si>
  <si>
    <t>DOTA</t>
  </si>
  <si>
    <t>CURRIDABAT</t>
  </si>
  <si>
    <t>PÉREZ ZELEDÓN</t>
  </si>
  <si>
    <t>LEÓN CORTÉS</t>
  </si>
  <si>
    <t>PROVINCIA ALAJUELA</t>
  </si>
  <si>
    <t>SAN RAMÓN</t>
  </si>
  <si>
    <t>GRECIA</t>
  </si>
  <si>
    <t>SAN MATEO</t>
  </si>
  <si>
    <t>ATENAS</t>
  </si>
  <si>
    <t>NARANJO</t>
  </si>
  <si>
    <t>PALMARES</t>
  </si>
  <si>
    <t>POÁS</t>
  </si>
  <si>
    <t>OROTINA</t>
  </si>
  <si>
    <t>SAN CARLOS</t>
  </si>
  <si>
    <t>ZARCERO</t>
  </si>
  <si>
    <t>VALVERDE VEGA</t>
  </si>
  <si>
    <t>UPALA</t>
  </si>
  <si>
    <t>LOS CHILES</t>
  </si>
  <si>
    <t>GUATUSO</t>
  </si>
  <si>
    <t>PROVINCIA CARTAGO</t>
  </si>
  <si>
    <t>PARAÍSO</t>
  </si>
  <si>
    <t>LA UNIÓN</t>
  </si>
  <si>
    <t>JIMÉNEZ</t>
  </si>
  <si>
    <t>TURRIALBA</t>
  </si>
  <si>
    <t>ALVARADO</t>
  </si>
  <si>
    <t>OREAMUNO</t>
  </si>
  <si>
    <t>PROVINCIA HEREDIA</t>
  </si>
  <si>
    <t>BARVA</t>
  </si>
  <si>
    <t>SANTO DOMINGO</t>
  </si>
  <si>
    <t>SANTA BÁRBARA</t>
  </si>
  <si>
    <t>SAN RAFAEL</t>
  </si>
  <si>
    <t>BELÉN</t>
  </si>
  <si>
    <t>FLORES</t>
  </si>
  <si>
    <t>SAN PABLO</t>
  </si>
  <si>
    <t>SARAPIQUÍ</t>
  </si>
  <si>
    <t>PROVINCIA  GUANACASTE</t>
  </si>
  <si>
    <t>NICOYA</t>
  </si>
  <si>
    <t>SANTA CRUZ</t>
  </si>
  <si>
    <t>BAGACES</t>
  </si>
  <si>
    <t>CARRILLO</t>
  </si>
  <si>
    <t>CAÑAS</t>
  </si>
  <si>
    <t>ABANGARES</t>
  </si>
  <si>
    <t>TILARÁN</t>
  </si>
  <si>
    <t>NANDAYURE</t>
  </si>
  <si>
    <t>LA CRUZ</t>
  </si>
  <si>
    <t>HOJANCHA</t>
  </si>
  <si>
    <t>PROVINCIA PUNTARENAS</t>
  </si>
  <si>
    <t>ESPARZA</t>
  </si>
  <si>
    <t>BUENOS AIRES</t>
  </si>
  <si>
    <t>MONTES DE ORO</t>
  </si>
  <si>
    <t>OSA</t>
  </si>
  <si>
    <t>AGUIRRE</t>
  </si>
  <si>
    <t>GOLFITO</t>
  </si>
  <si>
    <t>COTO BRUS</t>
  </si>
  <si>
    <t>PARRITA</t>
  </si>
  <si>
    <t>CORREDORES</t>
  </si>
  <si>
    <t>GARABITO</t>
  </si>
  <si>
    <t>PROVINCIA LIMÓN</t>
  </si>
  <si>
    <t>SIQUIRRES</t>
  </si>
  <si>
    <t>TALAMANCA</t>
  </si>
  <si>
    <t>MATINA</t>
  </si>
  <si>
    <t>GUÁCIMO</t>
  </si>
  <si>
    <r>
      <t>EL GUARCO</t>
    </r>
    <r>
      <rPr>
        <vertAlign val="superscript"/>
        <sz val="9"/>
        <rFont val="Arial"/>
        <family val="2"/>
      </rPr>
      <t>1/</t>
    </r>
  </si>
  <si>
    <r>
      <t>SAN ISIDRO</t>
    </r>
    <r>
      <rPr>
        <vertAlign val="superscript"/>
        <sz val="9"/>
        <rFont val="Arial"/>
        <family val="2"/>
      </rPr>
      <t xml:space="preserve">2/ </t>
    </r>
  </si>
  <si>
    <r>
      <t>LIBERIA</t>
    </r>
    <r>
      <rPr>
        <vertAlign val="superscript"/>
        <sz val="9"/>
        <rFont val="Arial"/>
        <family val="2"/>
      </rPr>
      <t>3/</t>
    </r>
  </si>
  <si>
    <r>
      <t>LIMÓN</t>
    </r>
    <r>
      <rPr>
        <vertAlign val="superscript"/>
        <sz val="9"/>
        <rFont val="Arial"/>
        <family val="2"/>
      </rPr>
      <t>4/</t>
    </r>
  </si>
  <si>
    <r>
      <t>POCOCÍ</t>
    </r>
    <r>
      <rPr>
        <vertAlign val="superscript"/>
        <sz val="9"/>
        <rFont val="Arial"/>
        <family val="2"/>
      </rPr>
      <t>5/</t>
    </r>
  </si>
  <si>
    <r>
      <rPr>
        <vertAlign val="superscript"/>
        <sz val="9"/>
        <rFont val="Tahoma"/>
        <family val="2"/>
      </rPr>
      <t>1/</t>
    </r>
    <r>
      <rPr>
        <sz val="9"/>
        <rFont val="Tahoma"/>
        <family val="2"/>
      </rPr>
      <t xml:space="preserve"> En la resolución DGRA-039-2018 se realiza un cambio dentro del Padrón Nacional Electoral en las Juntas Receptoras de Votos número 4069 y 4070, modificando el dato del abstencionismo.</t>
    </r>
  </si>
  <si>
    <r>
      <rPr>
        <vertAlign val="superscript"/>
        <sz val="9"/>
        <rFont val="Tahoma"/>
        <family val="2"/>
      </rPr>
      <t>2/</t>
    </r>
    <r>
      <rPr>
        <sz val="9"/>
        <rFont val="Tahoma"/>
        <family val="2"/>
      </rPr>
      <t xml:space="preserve"> En la resolución DGRA-039-2018 se realiza un cambio dentro del Padrón Nacional Electoral en la Junta Receptora de Votos número 4521, modificando el dato del abstencionismo.</t>
    </r>
  </si>
  <si>
    <r>
      <rPr>
        <vertAlign val="superscript"/>
        <sz val="9"/>
        <rFont val="Tahoma"/>
        <family val="2"/>
      </rPr>
      <t>3/</t>
    </r>
    <r>
      <rPr>
        <sz val="9"/>
        <rFont val="Tahoma"/>
        <family val="2"/>
      </rPr>
      <t xml:space="preserve"> En la resolución DGRA-039-2018 se realiza un cambio dentro del Padrón Nacional Electoral en las Juntas Receptoras de Votos número 4726, 4780 y 4784 modificando el dato del abstencionismo.</t>
    </r>
  </si>
  <si>
    <r>
      <rPr>
        <vertAlign val="superscript"/>
        <sz val="9"/>
        <rFont val="Tahoma"/>
        <family val="2"/>
      </rPr>
      <t>4/</t>
    </r>
    <r>
      <rPr>
        <sz val="9"/>
        <rFont val="Tahoma"/>
        <family val="2"/>
      </rPr>
      <t xml:space="preserve"> En la resolución DGRA-039-2018 se realiza un cambio dentro del Padrón Nacional Electoral en las Juntas Receptoras de Votos número 6116 y 6117, modificando el dato del abstencionismo.</t>
    </r>
  </si>
  <si>
    <r>
      <rPr>
        <vertAlign val="superscript"/>
        <sz val="9"/>
        <rFont val="Tahoma"/>
        <family val="2"/>
      </rPr>
      <t>5/</t>
    </r>
    <r>
      <rPr>
        <sz val="9"/>
        <rFont val="Tahoma"/>
        <family val="2"/>
      </rPr>
      <t xml:space="preserve"> En la resolución DGRA-039-2018 se realiza un cambio dentro del Padrón Nacional Electoral en las Juntas Receptoras de Votos número 6239, 6240 y 6245, modificando el dato del abstencionismo.</t>
    </r>
  </si>
  <si>
    <t>Mapa 1.1</t>
  </si>
  <si>
    <t>Mapa 1.3</t>
  </si>
  <si>
    <t>Mapa 1.2</t>
  </si>
  <si>
    <t>COSTA RICA: PARTIDO GANADOR POR DISTRITO ADMINISTRATIVO</t>
  </si>
  <si>
    <t>COSTA RICA: PARTICIPACIÓN POR DISTRITO ADMINISTRATIVO</t>
  </si>
  <si>
    <t>COSTA RICA: ABSTENCIONISMO POR DISTRITO ADMINISTRATIVO</t>
  </si>
  <si>
    <t>COSTA RICA: INTENSIDAD DEL GANE POR DISTRITO ADMINISTRATIVO</t>
  </si>
  <si>
    <t>COSTA RICA: PARTICIPACIÓN Y PARTIDO GANADOR POR PROVINCIA</t>
  </si>
  <si>
    <t>Mapa 3.1</t>
  </si>
  <si>
    <t>Mapa 3.2</t>
  </si>
  <si>
    <t>Mapa 3.3</t>
  </si>
  <si>
    <t>Mapa 3.4</t>
  </si>
  <si>
    <t>Mapa 3.5</t>
  </si>
  <si>
    <t>M3.1</t>
  </si>
  <si>
    <t>M3.3</t>
  </si>
  <si>
    <t>M3.4</t>
  </si>
  <si>
    <t>M3.5</t>
  </si>
  <si>
    <t>M3.2</t>
  </si>
  <si>
    <t>Mapa 4.1</t>
  </si>
  <si>
    <t>Mapa 4.2</t>
  </si>
  <si>
    <t>M4.1</t>
  </si>
  <si>
    <t>M4.2</t>
  </si>
  <si>
    <t>COSTA RICA: DISTRIBUCIÓN DE ESCAÑOS POR PROVINCIA Y PARTIDO</t>
  </si>
  <si>
    <t>COSTA RICA: DISTRIBUCIÓN DE ESCAÑOS POR PROVINCIA Y SEXO</t>
  </si>
  <si>
    <t>Mapa 6.1</t>
  </si>
  <si>
    <t>M6.1</t>
  </si>
  <si>
    <t>COSTA RICA: PORCENTAJE DE ELECTORES QUE CAMBIARON DE PARTIDO</t>
  </si>
  <si>
    <t>M1.1</t>
  </si>
  <si>
    <t>M1.2</t>
  </si>
  <si>
    <t>M1.3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</si>
</sst>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_-;\-* #,##0_-;_-* &quot;-&quot;_-;_-@_-"/>
    <numFmt numFmtId="165" formatCode="#,##0.0"/>
    <numFmt numFmtId="168" formatCode="_(* #,##0_);_(* \(#,##0\);_(* &quot;-&quot;??_);_(@_)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rgb="FFFF0000"/>
      <name val="Arial"/>
      <family val="2"/>
    </font>
    <font>
      <sz val="14"/>
      <color rgb="FFFF000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vertAlign val="superscript"/>
      <sz val="9"/>
      <name val="Tahoma"/>
      <family val="2"/>
    </font>
    <font>
      <sz val="9"/>
      <name val="Tahoma"/>
      <family val="2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MS Sans Serif"/>
      <family val="2"/>
    </font>
    <font>
      <vertAlign val="superscript"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96">
    <xf numFmtId="0" fontId="0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0">
    <xf numFmtId="0" fontId="0" fillId="0" borderId="0" xfId="0"/>
    <xf numFmtId="3" fontId="13" fillId="2" borderId="0" xfId="0" applyNumberFormat="1" applyFont="1" applyFill="1" applyBorder="1" applyAlignment="1">
      <alignment horizontal="right" vertical="center"/>
    </xf>
    <xf numFmtId="0" fontId="13" fillId="2" borderId="0" xfId="0" applyFont="1" applyFill="1" applyBorder="1" applyAlignment="1">
      <alignment horizontal="left" vertical="center" wrapText="1" indent="1"/>
    </xf>
    <xf numFmtId="165" fontId="13" fillId="2" borderId="0" xfId="0" applyNumberFormat="1" applyFont="1" applyFill="1" applyBorder="1" applyAlignment="1">
      <alignment horizontal="right" vertical="center"/>
    </xf>
    <xf numFmtId="0" fontId="15" fillId="2" borderId="0" xfId="0" applyFont="1" applyFill="1" applyBorder="1" applyAlignment="1">
      <alignment horizontal="left" vertical="center"/>
    </xf>
    <xf numFmtId="0" fontId="10" fillId="2" borderId="0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left" vertical="top" wrapText="1" indent="2"/>
    </xf>
    <xf numFmtId="0" fontId="16" fillId="2" borderId="0" xfId="0" applyFont="1" applyFill="1" applyBorder="1" applyAlignment="1">
      <alignment horizontal="centerContinuous" vertical="center"/>
    </xf>
    <xf numFmtId="0" fontId="16" fillId="2" borderId="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textRotation="90" wrapText="1"/>
    </xf>
    <xf numFmtId="0" fontId="12" fillId="2" borderId="0" xfId="0" applyFont="1" applyFill="1" applyBorder="1" applyAlignment="1">
      <alignment horizontal="center" wrapText="1"/>
    </xf>
    <xf numFmtId="0" fontId="17" fillId="2" borderId="0" xfId="0" applyFont="1" applyFill="1" applyBorder="1" applyAlignment="1">
      <alignment horizontal="left" vertical="top" wrapText="1"/>
    </xf>
    <xf numFmtId="3" fontId="17" fillId="2" borderId="0" xfId="0" applyNumberFormat="1" applyFont="1" applyFill="1" applyBorder="1"/>
    <xf numFmtId="165" fontId="17" fillId="2" borderId="0" xfId="0" applyNumberFormat="1" applyFont="1" applyFill="1" applyBorder="1" applyAlignment="1">
      <alignment horizontal="right" vertical="center"/>
    </xf>
    <xf numFmtId="3" fontId="18" fillId="2" borderId="0" xfId="0" applyNumberFormat="1" applyFont="1" applyFill="1" applyBorder="1" applyAlignment="1">
      <alignment horizontal="right" vertical="center"/>
    </xf>
    <xf numFmtId="3" fontId="17" fillId="2" borderId="0" xfId="0" applyNumberFormat="1" applyFont="1" applyFill="1" applyBorder="1" applyAlignment="1">
      <alignment horizontal="right" vertical="center"/>
    </xf>
    <xf numFmtId="0" fontId="13" fillId="2" borderId="0" xfId="0" applyFont="1" applyFill="1" applyBorder="1" applyAlignment="1">
      <alignment horizontal="left" vertical="top" wrapText="1" indent="1"/>
    </xf>
    <xf numFmtId="168" fontId="13" fillId="2" borderId="0" xfId="1" applyNumberFormat="1" applyFont="1" applyFill="1" applyBorder="1" applyAlignment="1">
      <alignment horizontal="right" vertical="center"/>
    </xf>
    <xf numFmtId="0" fontId="13" fillId="0" borderId="0" xfId="0" applyFont="1" applyFill="1" applyBorder="1" applyAlignment="1">
      <alignment horizontal="left" vertical="top" wrapText="1" indent="1"/>
    </xf>
    <xf numFmtId="0" fontId="13" fillId="0" borderId="0" xfId="0" applyFont="1" applyFill="1" applyBorder="1" applyAlignment="1">
      <alignment horizontal="left" vertical="center" wrapText="1" indent="1"/>
    </xf>
    <xf numFmtId="168" fontId="17" fillId="2" borderId="0" xfId="1" applyNumberFormat="1" applyFont="1" applyFill="1" applyBorder="1" applyAlignment="1">
      <alignment horizontal="right" vertical="center"/>
    </xf>
    <xf numFmtId="0" fontId="17" fillId="2" borderId="3" xfId="0" applyFont="1" applyFill="1" applyBorder="1" applyAlignment="1">
      <alignment horizontal="left" vertical="top" wrapText="1" indent="2"/>
    </xf>
    <xf numFmtId="3" fontId="13" fillId="2" borderId="3" xfId="0" applyNumberFormat="1" applyFont="1" applyFill="1" applyBorder="1"/>
    <xf numFmtId="168" fontId="17" fillId="2" borderId="3" xfId="1" applyNumberFormat="1" applyFont="1" applyFill="1" applyBorder="1" applyAlignment="1">
      <alignment horizontal="right" vertical="center"/>
    </xf>
    <xf numFmtId="0" fontId="13" fillId="2" borderId="3" xfId="0" applyFont="1" applyFill="1" applyBorder="1"/>
    <xf numFmtId="0" fontId="17" fillId="2" borderId="0" xfId="0" applyFont="1" applyFill="1" applyBorder="1" applyAlignment="1">
      <alignment horizontal="left" vertical="top" wrapText="1" indent="2"/>
    </xf>
    <xf numFmtId="3" fontId="13" fillId="2" borderId="0" xfId="0" applyNumberFormat="1" applyFont="1" applyFill="1"/>
    <xf numFmtId="0" fontId="13" fillId="2" borderId="0" xfId="0" applyFont="1" applyFill="1"/>
    <xf numFmtId="0" fontId="0" fillId="2" borderId="0" xfId="0" applyFill="1"/>
    <xf numFmtId="3" fontId="16" fillId="2" borderId="0" xfId="0" applyNumberFormat="1" applyFont="1" applyFill="1"/>
    <xf numFmtId="0" fontId="5" fillId="2" borderId="0" xfId="2" applyFont="1" applyFill="1"/>
    <xf numFmtId="0" fontId="6" fillId="2" borderId="0" xfId="2" applyFont="1" applyFill="1"/>
    <xf numFmtId="0" fontId="5" fillId="2" borderId="0" xfId="2" applyFill="1"/>
    <xf numFmtId="0" fontId="8" fillId="2" borderId="0" xfId="2" applyFont="1" applyFill="1"/>
    <xf numFmtId="0" fontId="9" fillId="2" borderId="0" xfId="2" applyFont="1" applyFill="1"/>
    <xf numFmtId="0" fontId="12" fillId="2" borderId="0" xfId="0" applyFont="1" applyFill="1" applyBorder="1" applyAlignment="1">
      <alignment horizontal="centerContinuous" vertical="center" wrapText="1"/>
    </xf>
    <xf numFmtId="0" fontId="17" fillId="2" borderId="0" xfId="0" applyFont="1" applyFill="1" applyBorder="1" applyAlignment="1">
      <alignment horizontal="left" vertical="center" wrapText="1"/>
    </xf>
    <xf numFmtId="165" fontId="0" fillId="2" borderId="0" xfId="0" applyNumberFormat="1" applyFill="1"/>
    <xf numFmtId="3" fontId="13" fillId="0" borderId="0" xfId="0" applyNumberFormat="1" applyFont="1" applyFill="1" applyBorder="1" applyAlignment="1">
      <alignment horizontal="right" vertical="center"/>
    </xf>
    <xf numFmtId="165" fontId="13" fillId="0" borderId="0" xfId="0" applyNumberFormat="1" applyFont="1" applyFill="1" applyBorder="1" applyAlignment="1">
      <alignment horizontal="right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 textRotation="90" wrapText="1"/>
    </xf>
    <xf numFmtId="0" fontId="13" fillId="2" borderId="8" xfId="0" applyFont="1" applyFill="1" applyBorder="1" applyAlignment="1">
      <alignment horizontal="center" vertical="center" textRotation="90" wrapText="1"/>
    </xf>
    <xf numFmtId="0" fontId="13" fillId="2" borderId="11" xfId="0" applyFont="1" applyFill="1" applyBorder="1" applyAlignment="1">
      <alignment horizontal="center" vertical="center" textRotation="90" wrapText="1"/>
    </xf>
    <xf numFmtId="0" fontId="13" fillId="2" borderId="13" xfId="0" applyFont="1" applyFill="1" applyBorder="1" applyAlignment="1">
      <alignment horizontal="center" vertical="center" textRotation="90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2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textRotation="90" wrapText="1"/>
    </xf>
    <xf numFmtId="0" fontId="17" fillId="2" borderId="7" xfId="0" applyFont="1" applyFill="1" applyBorder="1" applyAlignment="1">
      <alignment horizontal="center" vertical="center" textRotation="90" wrapText="1"/>
    </xf>
    <xf numFmtId="0" fontId="17" fillId="2" borderId="8" xfId="0" applyFont="1" applyFill="1" applyBorder="1" applyAlignment="1">
      <alignment horizontal="center" vertical="center" textRotation="90" wrapText="1"/>
    </xf>
    <xf numFmtId="0" fontId="17" fillId="2" borderId="5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</cellXfs>
  <cellStyles count="196">
    <cellStyle name="Millares" xfId="1" builtinId="3"/>
    <cellStyle name="Millares [0] 2" xfId="108" xr:uid="{00000000-0005-0000-0000-000002000000}"/>
    <cellStyle name="Normal" xfId="0" builtinId="0"/>
    <cellStyle name="Normal 10" xfId="56" xr:uid="{00000000-0005-0000-0000-000005000000}"/>
    <cellStyle name="Normal 10 2" xfId="131" xr:uid="{00000000-0005-0000-0000-000006000000}"/>
    <cellStyle name="Normal 2" xfId="2" xr:uid="{00000000-0005-0000-0000-000007000000}"/>
    <cellStyle name="Normal 2 5" xfId="4" xr:uid="{00000000-0005-0000-0000-000008000000}"/>
    <cellStyle name="Normal 5 2" xfId="8" xr:uid="{00000000-0005-0000-0000-000009000000}"/>
    <cellStyle name="Normal 6 2" xfId="80" xr:uid="{00000000-0005-0000-0000-00000A000000}"/>
    <cellStyle name="Normal 6 3" xfId="79" xr:uid="{00000000-0005-0000-0000-00000B000000}"/>
    <cellStyle name="Normal 6 3 2" xfId="109" xr:uid="{00000000-0005-0000-0000-00000C000000}"/>
    <cellStyle name="Normal 6 3 2 2" xfId="168" xr:uid="{00000000-0005-0000-0000-00000D000000}"/>
    <cellStyle name="Normal 7" xfId="16" xr:uid="{00000000-0005-0000-0000-00000E000000}"/>
    <cellStyle name="Normal 7 2" xfId="36" xr:uid="{00000000-0005-0000-0000-00000F000000}"/>
    <cellStyle name="Normal 7 2 2" xfId="112" xr:uid="{00000000-0005-0000-0000-000010000000}"/>
    <cellStyle name="Normal 8" xfId="35" xr:uid="{00000000-0005-0000-0000-000011000000}"/>
    <cellStyle name="Normal 8 2" xfId="111" xr:uid="{00000000-0005-0000-0000-000012000000}"/>
    <cellStyle name="Normal 9" xfId="81" xr:uid="{00000000-0005-0000-0000-000013000000}"/>
    <cellStyle name="Normal 9 2" xfId="169" xr:uid="{00000000-0005-0000-0000-000014000000}"/>
    <cellStyle name="Porcentaje 2" xfId="3" xr:uid="{00000000-0005-0000-0000-00001F000000}"/>
    <cellStyle name="style1520965223228 2" xfId="9" xr:uid="{00000000-0005-0000-0000-000020000000}"/>
    <cellStyle name="style1520965223228 2 2" xfId="155" xr:uid="{00000000-0005-0000-0000-000021000000}"/>
    <cellStyle name="style1520965223259" xfId="110" xr:uid="{00000000-0005-0000-0000-000022000000}"/>
    <cellStyle name="style1520965223259 2" xfId="11" xr:uid="{00000000-0005-0000-0000-000023000000}"/>
    <cellStyle name="style1520965223259 2 2" xfId="156" xr:uid="{00000000-0005-0000-0000-000024000000}"/>
    <cellStyle name="style1520965223400 2" xfId="12" xr:uid="{00000000-0005-0000-0000-000025000000}"/>
    <cellStyle name="style1520965223400 2 2" xfId="157" xr:uid="{00000000-0005-0000-0000-000026000000}"/>
    <cellStyle name="style1521142492249" xfId="82" xr:uid="{00000000-0005-0000-0000-000027000000}"/>
    <cellStyle name="style1521142492249 2" xfId="170" xr:uid="{00000000-0005-0000-0000-000028000000}"/>
    <cellStyle name="style1521142492278" xfId="88" xr:uid="{00000000-0005-0000-0000-000029000000}"/>
    <cellStyle name="style1521142492278 2" xfId="176" xr:uid="{00000000-0005-0000-0000-00002A000000}"/>
    <cellStyle name="style1521142492342" xfId="85" xr:uid="{00000000-0005-0000-0000-00002B000000}"/>
    <cellStyle name="style1521142492342 2" xfId="173" xr:uid="{00000000-0005-0000-0000-00002C000000}"/>
    <cellStyle name="style1521142492422" xfId="89" xr:uid="{00000000-0005-0000-0000-00002D000000}"/>
    <cellStyle name="style1521142492422 2" xfId="177" xr:uid="{00000000-0005-0000-0000-00002E000000}"/>
    <cellStyle name="style1521142492454" xfId="83" xr:uid="{00000000-0005-0000-0000-00002F000000}"/>
    <cellStyle name="style1521142492454 2" xfId="171" xr:uid="{00000000-0005-0000-0000-000030000000}"/>
    <cellStyle name="style1521142492491" xfId="84" xr:uid="{00000000-0005-0000-0000-000031000000}"/>
    <cellStyle name="style1521142492491 2" xfId="172" xr:uid="{00000000-0005-0000-0000-000032000000}"/>
    <cellStyle name="style1521142492570" xfId="86" xr:uid="{00000000-0005-0000-0000-000033000000}"/>
    <cellStyle name="style1521142492570 2" xfId="174" xr:uid="{00000000-0005-0000-0000-000034000000}"/>
    <cellStyle name="style1521142492605" xfId="87" xr:uid="{00000000-0005-0000-0000-000035000000}"/>
    <cellStyle name="style1521142492605 2" xfId="175" xr:uid="{00000000-0005-0000-0000-000036000000}"/>
    <cellStyle name="style1521142492770" xfId="90" xr:uid="{00000000-0005-0000-0000-000037000000}"/>
    <cellStyle name="style1521142492770 2" xfId="178" xr:uid="{00000000-0005-0000-0000-000038000000}"/>
    <cellStyle name="style1521142492806" xfId="91" xr:uid="{00000000-0005-0000-0000-000039000000}"/>
    <cellStyle name="style1521142492806 2" xfId="179" xr:uid="{00000000-0005-0000-0000-00003A000000}"/>
    <cellStyle name="style1521144061187" xfId="92" xr:uid="{00000000-0005-0000-0000-00003B000000}"/>
    <cellStyle name="style1521144061187 2" xfId="180" xr:uid="{00000000-0005-0000-0000-00003C000000}"/>
    <cellStyle name="style1521144061203" xfId="102" xr:uid="{00000000-0005-0000-0000-00003D000000}"/>
    <cellStyle name="style1521144061203 2" xfId="190" xr:uid="{00000000-0005-0000-0000-00003E000000}"/>
    <cellStyle name="style1521144061250" xfId="97" xr:uid="{00000000-0005-0000-0000-00003F000000}"/>
    <cellStyle name="style1521144061250 2" xfId="185" xr:uid="{00000000-0005-0000-0000-000040000000}"/>
    <cellStyle name="style1521144061312" xfId="103" xr:uid="{00000000-0005-0000-0000-000041000000}"/>
    <cellStyle name="style1521144061312 2" xfId="191" xr:uid="{00000000-0005-0000-0000-000042000000}"/>
    <cellStyle name="style1521144061344" xfId="93" xr:uid="{00000000-0005-0000-0000-000043000000}"/>
    <cellStyle name="style1521144061344 2" xfId="181" xr:uid="{00000000-0005-0000-0000-000044000000}"/>
    <cellStyle name="style1521144061375" xfId="94" xr:uid="{00000000-0005-0000-0000-000045000000}"/>
    <cellStyle name="style1521144061375 2" xfId="183" xr:uid="{00000000-0005-0000-0000-000046000000}"/>
    <cellStyle name="style1521144061406" xfId="95" xr:uid="{00000000-0005-0000-0000-000047000000}"/>
    <cellStyle name="style1521144061406 2" xfId="182" xr:uid="{00000000-0005-0000-0000-000048000000}"/>
    <cellStyle name="style1521144061453" xfId="96" xr:uid="{00000000-0005-0000-0000-000049000000}"/>
    <cellStyle name="style1521144061453 2" xfId="184" xr:uid="{00000000-0005-0000-0000-00004A000000}"/>
    <cellStyle name="style1521144061500" xfId="98" xr:uid="{00000000-0005-0000-0000-00004B000000}"/>
    <cellStyle name="style1521144061500 2" xfId="186" xr:uid="{00000000-0005-0000-0000-00004C000000}"/>
    <cellStyle name="style1521144061547" xfId="99" xr:uid="{00000000-0005-0000-0000-00004D000000}"/>
    <cellStyle name="style1521144061547 2" xfId="187" xr:uid="{00000000-0005-0000-0000-00004E000000}"/>
    <cellStyle name="style1521144061578" xfId="100" xr:uid="{00000000-0005-0000-0000-00004F000000}"/>
    <cellStyle name="style1521144061578 2" xfId="188" xr:uid="{00000000-0005-0000-0000-000050000000}"/>
    <cellStyle name="style1521144061609" xfId="101" xr:uid="{00000000-0005-0000-0000-000051000000}"/>
    <cellStyle name="style1521144061609 2" xfId="189" xr:uid="{00000000-0005-0000-0000-000052000000}"/>
    <cellStyle name="style1521144061719" xfId="104" xr:uid="{00000000-0005-0000-0000-000053000000}"/>
    <cellStyle name="style1521144061719 2" xfId="192" xr:uid="{00000000-0005-0000-0000-000054000000}"/>
    <cellStyle name="style1521144061750" xfId="105" xr:uid="{00000000-0005-0000-0000-000055000000}"/>
    <cellStyle name="style1521144061750 2" xfId="193" xr:uid="{00000000-0005-0000-0000-000056000000}"/>
    <cellStyle name="style1521144061781" xfId="106" xr:uid="{00000000-0005-0000-0000-000057000000}"/>
    <cellStyle name="style1521144061781 2" xfId="194" xr:uid="{00000000-0005-0000-0000-000058000000}"/>
    <cellStyle name="style1521144061812" xfId="107" xr:uid="{00000000-0005-0000-0000-000059000000}"/>
    <cellStyle name="style1521144061812 2" xfId="195" xr:uid="{00000000-0005-0000-0000-00005A000000}"/>
    <cellStyle name="style1521144870370" xfId="5" xr:uid="{00000000-0005-0000-0000-00005B000000}"/>
    <cellStyle name="style1521144870370 2" xfId="154" xr:uid="{00000000-0005-0000-0000-00005C000000}"/>
    <cellStyle name="style1521144870511 2" xfId="14" xr:uid="{00000000-0005-0000-0000-00005D000000}"/>
    <cellStyle name="style1521144870542 2" xfId="10" xr:uid="{00000000-0005-0000-0000-00005E000000}"/>
    <cellStyle name="style1521144870605 2" xfId="7" xr:uid="{00000000-0005-0000-0000-00005F000000}"/>
    <cellStyle name="style1521144870636 2" xfId="6" xr:uid="{00000000-0005-0000-0000-000060000000}"/>
    <cellStyle name="style1521144870777 2" xfId="15" xr:uid="{00000000-0005-0000-0000-000061000000}"/>
    <cellStyle name="style1521144870808 2" xfId="13" xr:uid="{00000000-0005-0000-0000-000062000000}"/>
    <cellStyle name="style1521211794900" xfId="17" xr:uid="{00000000-0005-0000-0000-000063000000}"/>
    <cellStyle name="style1521211794900 2" xfId="161" xr:uid="{00000000-0005-0000-0000-000064000000}"/>
    <cellStyle name="style1521211794931" xfId="26" xr:uid="{00000000-0005-0000-0000-000065000000}"/>
    <cellStyle name="style1521211794931 2" xfId="163" xr:uid="{00000000-0005-0000-0000-000066000000}"/>
    <cellStyle name="style1521211794962" xfId="19" xr:uid="{00000000-0005-0000-0000-000067000000}"/>
    <cellStyle name="style1521211794962 2" xfId="162" xr:uid="{00000000-0005-0000-0000-000068000000}"/>
    <cellStyle name="style1521211794993" xfId="22" xr:uid="{00000000-0005-0000-0000-000069000000}"/>
    <cellStyle name="style1521211794993 2" xfId="158" xr:uid="{00000000-0005-0000-0000-00006A000000}"/>
    <cellStyle name="style1521211795087" xfId="27" xr:uid="{00000000-0005-0000-0000-00006B000000}"/>
    <cellStyle name="style1521211795087 2" xfId="165" xr:uid="{00000000-0005-0000-0000-00006C000000}"/>
    <cellStyle name="style1521211795118" xfId="20" xr:uid="{00000000-0005-0000-0000-00006D000000}"/>
    <cellStyle name="style1521211795118 2" xfId="159" xr:uid="{00000000-0005-0000-0000-00006E000000}"/>
    <cellStyle name="style1521211795165" xfId="18" xr:uid="{00000000-0005-0000-0000-00006F000000}"/>
    <cellStyle name="style1521211795165 2" xfId="160" xr:uid="{00000000-0005-0000-0000-000070000000}"/>
    <cellStyle name="style1521211795212" xfId="21" xr:uid="{00000000-0005-0000-0000-000071000000}"/>
    <cellStyle name="style1521211795259" xfId="23" xr:uid="{00000000-0005-0000-0000-000072000000}"/>
    <cellStyle name="style1521211795259 2" xfId="164" xr:uid="{00000000-0005-0000-0000-000073000000}"/>
    <cellStyle name="style1521211795290" xfId="24" xr:uid="{00000000-0005-0000-0000-000074000000}"/>
    <cellStyle name="style1521211795337" xfId="25" xr:uid="{00000000-0005-0000-0000-000075000000}"/>
    <cellStyle name="style1521211795493" xfId="28" xr:uid="{00000000-0005-0000-0000-000076000000}"/>
    <cellStyle name="style1521211795556" xfId="29" xr:uid="{00000000-0005-0000-0000-000077000000}"/>
    <cellStyle name="style1521211795603" xfId="30" xr:uid="{00000000-0005-0000-0000-000078000000}"/>
    <cellStyle name="style1521211795775" xfId="31" xr:uid="{00000000-0005-0000-0000-000079000000}"/>
    <cellStyle name="style1521211795775 2" xfId="166" xr:uid="{00000000-0005-0000-0000-00007A000000}"/>
    <cellStyle name="style1521211795806" xfId="32" xr:uid="{00000000-0005-0000-0000-00007B000000}"/>
    <cellStyle name="style1521211795806 2" xfId="167" xr:uid="{00000000-0005-0000-0000-00007C000000}"/>
    <cellStyle name="style1521211795915" xfId="34" xr:uid="{00000000-0005-0000-0000-00007D000000}"/>
    <cellStyle name="style1521211796212" xfId="33" xr:uid="{00000000-0005-0000-0000-00007E000000}"/>
    <cellStyle name="style1521212766927" xfId="38" xr:uid="{00000000-0005-0000-0000-00007F000000}"/>
    <cellStyle name="style1521212766927 2" xfId="114" xr:uid="{00000000-0005-0000-0000-000080000000}"/>
    <cellStyle name="style1521212766958" xfId="43" xr:uid="{00000000-0005-0000-0000-000081000000}"/>
    <cellStyle name="style1521212766958 2" xfId="118" xr:uid="{00000000-0005-0000-0000-000082000000}"/>
    <cellStyle name="style1521212767036" xfId="49" xr:uid="{00000000-0005-0000-0000-000083000000}"/>
    <cellStyle name="style1521212767036 2" xfId="124" xr:uid="{00000000-0005-0000-0000-000084000000}"/>
    <cellStyle name="style1521212767052" xfId="39" xr:uid="{00000000-0005-0000-0000-000085000000}"/>
    <cellStyle name="style1521212767052 2" xfId="115" xr:uid="{00000000-0005-0000-0000-000086000000}"/>
    <cellStyle name="style1521212767099" xfId="40" xr:uid="{00000000-0005-0000-0000-000087000000}"/>
    <cellStyle name="style1521212767099 2" xfId="116" xr:uid="{00000000-0005-0000-0000-000088000000}"/>
    <cellStyle name="style1521212767177" xfId="41" xr:uid="{00000000-0005-0000-0000-000089000000}"/>
    <cellStyle name="style1521212767177 2" xfId="117" xr:uid="{00000000-0005-0000-0000-00008A000000}"/>
    <cellStyle name="style1521212767224" xfId="44" xr:uid="{00000000-0005-0000-0000-00008B000000}"/>
    <cellStyle name="style1521212767224 2" xfId="119" xr:uid="{00000000-0005-0000-0000-00008C000000}"/>
    <cellStyle name="style1521212767255" xfId="45" xr:uid="{00000000-0005-0000-0000-00008D000000}"/>
    <cellStyle name="style1521212767255 2" xfId="120" xr:uid="{00000000-0005-0000-0000-00008E000000}"/>
    <cellStyle name="style1521212767333" xfId="46" xr:uid="{00000000-0005-0000-0000-00008F000000}"/>
    <cellStyle name="style1521212767333 2" xfId="121" xr:uid="{00000000-0005-0000-0000-000090000000}"/>
    <cellStyle name="style1521212767489" xfId="50" xr:uid="{00000000-0005-0000-0000-000091000000}"/>
    <cellStyle name="style1521212767489 2" xfId="125" xr:uid="{00000000-0005-0000-0000-000092000000}"/>
    <cellStyle name="style1521212767536" xfId="51" xr:uid="{00000000-0005-0000-0000-000093000000}"/>
    <cellStyle name="style1521212767536 2" xfId="126" xr:uid="{00000000-0005-0000-0000-000094000000}"/>
    <cellStyle name="style1521212767630" xfId="52" xr:uid="{00000000-0005-0000-0000-000095000000}"/>
    <cellStyle name="style1521212767630 2" xfId="127" xr:uid="{00000000-0005-0000-0000-000096000000}"/>
    <cellStyle name="style1521212767771" xfId="37" xr:uid="{00000000-0005-0000-0000-000097000000}"/>
    <cellStyle name="style1521212767771 2" xfId="113" xr:uid="{00000000-0005-0000-0000-000098000000}"/>
    <cellStyle name="style1521212767802" xfId="42" xr:uid="{00000000-0005-0000-0000-000099000000}"/>
    <cellStyle name="style1521212767802 2" xfId="122" xr:uid="{00000000-0005-0000-0000-00009A000000}"/>
    <cellStyle name="style1521212767880" xfId="48" xr:uid="{00000000-0005-0000-0000-00009B000000}"/>
    <cellStyle name="style1521212767958" xfId="47" xr:uid="{00000000-0005-0000-0000-00009C000000}"/>
    <cellStyle name="style1521212767958 2" xfId="123" xr:uid="{00000000-0005-0000-0000-00009D000000}"/>
    <cellStyle name="style1524236138172" xfId="54" xr:uid="{00000000-0005-0000-0000-00009E000000}"/>
    <cellStyle name="style1524236138172 2" xfId="129" xr:uid="{00000000-0005-0000-0000-00009F000000}"/>
    <cellStyle name="style1524236138286" xfId="55" xr:uid="{00000000-0005-0000-0000-0000A0000000}"/>
    <cellStyle name="style1524236138286 2" xfId="130" xr:uid="{00000000-0005-0000-0000-0000A1000000}"/>
    <cellStyle name="style1524236138412" xfId="53" xr:uid="{00000000-0005-0000-0000-0000A2000000}"/>
    <cellStyle name="style1524236138412 2" xfId="128" xr:uid="{00000000-0005-0000-0000-0000A3000000}"/>
    <cellStyle name="style1524236138616" xfId="77" xr:uid="{00000000-0005-0000-0000-0000A4000000}"/>
    <cellStyle name="style1524236138616 2" xfId="152" xr:uid="{00000000-0005-0000-0000-0000A5000000}"/>
    <cellStyle name="style1524236138790" xfId="63" xr:uid="{00000000-0005-0000-0000-0000A6000000}"/>
    <cellStyle name="style1524236138790 2" xfId="138" xr:uid="{00000000-0005-0000-0000-0000A7000000}"/>
    <cellStyle name="style1524236139197" xfId="58" xr:uid="{00000000-0005-0000-0000-0000A8000000}"/>
    <cellStyle name="style1524236139197 2" xfId="133" xr:uid="{00000000-0005-0000-0000-0000A9000000}"/>
    <cellStyle name="style1524236139295" xfId="59" xr:uid="{00000000-0005-0000-0000-0000AA000000}"/>
    <cellStyle name="style1524236139295 2" xfId="134" xr:uid="{00000000-0005-0000-0000-0000AB000000}"/>
    <cellStyle name="style1524236139395" xfId="57" xr:uid="{00000000-0005-0000-0000-0000AC000000}"/>
    <cellStyle name="style1524236139395 2" xfId="132" xr:uid="{00000000-0005-0000-0000-0000AD000000}"/>
    <cellStyle name="style1524236139494" xfId="60" xr:uid="{00000000-0005-0000-0000-0000AE000000}"/>
    <cellStyle name="style1524236139494 2" xfId="135" xr:uid="{00000000-0005-0000-0000-0000AF000000}"/>
    <cellStyle name="style1524236139592" xfId="61" xr:uid="{00000000-0005-0000-0000-0000B0000000}"/>
    <cellStyle name="style1524236139592 2" xfId="136" xr:uid="{00000000-0005-0000-0000-0000B1000000}"/>
    <cellStyle name="style1524236139691" xfId="62" xr:uid="{00000000-0005-0000-0000-0000B2000000}"/>
    <cellStyle name="style1524236139691 2" xfId="137" xr:uid="{00000000-0005-0000-0000-0000B3000000}"/>
    <cellStyle name="style1524236140407" xfId="64" xr:uid="{00000000-0005-0000-0000-0000B4000000}"/>
    <cellStyle name="style1524236140407 2" xfId="139" xr:uid="{00000000-0005-0000-0000-0000B5000000}"/>
    <cellStyle name="style1524236140507" xfId="68" xr:uid="{00000000-0005-0000-0000-0000B6000000}"/>
    <cellStyle name="style1524236140507 2" xfId="143" xr:uid="{00000000-0005-0000-0000-0000B7000000}"/>
    <cellStyle name="style1524236140605" xfId="74" xr:uid="{00000000-0005-0000-0000-0000B8000000}"/>
    <cellStyle name="style1524236140605 2" xfId="149" xr:uid="{00000000-0005-0000-0000-0000B9000000}"/>
    <cellStyle name="style1524236140702" xfId="65" xr:uid="{00000000-0005-0000-0000-0000BA000000}"/>
    <cellStyle name="style1524236140702 2" xfId="140" xr:uid="{00000000-0005-0000-0000-0000BB000000}"/>
    <cellStyle name="style1524236140774" xfId="66" xr:uid="{00000000-0005-0000-0000-0000BC000000}"/>
    <cellStyle name="style1524236140774 2" xfId="141" xr:uid="{00000000-0005-0000-0000-0000BD000000}"/>
    <cellStyle name="style1524236140863" xfId="67" xr:uid="{00000000-0005-0000-0000-0000BE000000}"/>
    <cellStyle name="style1524236140863 2" xfId="142" xr:uid="{00000000-0005-0000-0000-0000BF000000}"/>
    <cellStyle name="style1524236140952" xfId="69" xr:uid="{00000000-0005-0000-0000-0000C0000000}"/>
    <cellStyle name="style1524236140952 2" xfId="144" xr:uid="{00000000-0005-0000-0000-0000C1000000}"/>
    <cellStyle name="style1524236141024" xfId="70" xr:uid="{00000000-0005-0000-0000-0000C2000000}"/>
    <cellStyle name="style1524236141024 2" xfId="145" xr:uid="{00000000-0005-0000-0000-0000C3000000}"/>
    <cellStyle name="style1524236141115" xfId="71" xr:uid="{00000000-0005-0000-0000-0000C4000000}"/>
    <cellStyle name="style1524236141115 2" xfId="146" xr:uid="{00000000-0005-0000-0000-0000C5000000}"/>
    <cellStyle name="style1524236141216" xfId="75" xr:uid="{00000000-0005-0000-0000-0000C6000000}"/>
    <cellStyle name="style1524236141216 2" xfId="150" xr:uid="{00000000-0005-0000-0000-0000C7000000}"/>
    <cellStyle name="style1524236141287" xfId="76" xr:uid="{00000000-0005-0000-0000-0000C8000000}"/>
    <cellStyle name="style1524236141287 2" xfId="151" xr:uid="{00000000-0005-0000-0000-0000C9000000}"/>
    <cellStyle name="style1524236141717" xfId="78" xr:uid="{00000000-0005-0000-0000-0000CA000000}"/>
    <cellStyle name="style1524236141717 2" xfId="153" xr:uid="{00000000-0005-0000-0000-0000CB000000}"/>
    <cellStyle name="style1524236141822" xfId="72" xr:uid="{00000000-0005-0000-0000-0000CC000000}"/>
    <cellStyle name="style1524236141822 2" xfId="147" xr:uid="{00000000-0005-0000-0000-0000CD000000}"/>
    <cellStyle name="style1524236141911" xfId="73" xr:uid="{00000000-0005-0000-0000-0000CE000000}"/>
    <cellStyle name="style1524236141911 2" xfId="148" xr:uid="{00000000-0005-0000-0000-0000CF000000}"/>
  </cellStyles>
  <dxfs count="0"/>
  <tableStyles count="0" defaultTableStyle="TableStyleMedium2" defaultPivotStyle="PivotStyleLight16"/>
  <colors>
    <mruColors>
      <color rgb="FFFAC090"/>
      <color rgb="FF4BACC6"/>
      <color rgb="FF4BC0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817245</xdr:colOff>
      <xdr:row>1</xdr:row>
      <xdr:rowOff>213359</xdr:rowOff>
    </xdr:to>
    <xdr:sp macro="[0]!REGRESAR1" textlink="">
      <xdr:nvSpPr>
        <xdr:cNvPr id="2" name="2 Flecha izquier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828675" cy="40957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R" sz="1100"/>
            <a:t>MENU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8"/>
  <dimension ref="A2:C176"/>
  <sheetViews>
    <sheetView topLeftCell="A91" workbookViewId="0">
      <selection activeCell="A100" sqref="A100:XFD100"/>
    </sheetView>
  </sheetViews>
  <sheetFormatPr baseColWidth="10" defaultColWidth="11.44140625" defaultRowHeight="13.2" x14ac:dyDescent="0.25"/>
  <cols>
    <col min="1" max="1" width="11.44140625" style="30"/>
    <col min="2" max="2" width="96" style="30" bestFit="1" customWidth="1"/>
    <col min="3" max="16384" width="11.44140625" style="30"/>
  </cols>
  <sheetData>
    <row r="2" spans="1:3" x14ac:dyDescent="0.25">
      <c r="A2" s="33" t="s">
        <v>0</v>
      </c>
    </row>
    <row r="3" spans="1:3" x14ac:dyDescent="0.25">
      <c r="A3" s="34" t="s">
        <v>1</v>
      </c>
      <c r="B3" s="34" t="s">
        <v>2</v>
      </c>
      <c r="C3" s="32" t="s">
        <v>3</v>
      </c>
    </row>
    <row r="4" spans="1:3" x14ac:dyDescent="0.25">
      <c r="A4" s="34" t="s">
        <v>4</v>
      </c>
      <c r="B4" s="34" t="s">
        <v>5</v>
      </c>
      <c r="C4" s="34" t="s">
        <v>6</v>
      </c>
    </row>
    <row r="5" spans="1:3" x14ac:dyDescent="0.25">
      <c r="A5" s="34" t="s">
        <v>7</v>
      </c>
      <c r="B5" s="34" t="s">
        <v>8</v>
      </c>
      <c r="C5" s="32" t="s">
        <v>9</v>
      </c>
    </row>
    <row r="6" spans="1:3" x14ac:dyDescent="0.25">
      <c r="A6" s="34" t="s">
        <v>10</v>
      </c>
      <c r="B6" s="34" t="s">
        <v>11</v>
      </c>
      <c r="C6" s="32" t="s">
        <v>12</v>
      </c>
    </row>
    <row r="7" spans="1:3" x14ac:dyDescent="0.25">
      <c r="A7" s="34" t="s">
        <v>13</v>
      </c>
      <c r="B7" s="34" t="s">
        <v>14</v>
      </c>
      <c r="C7" s="32" t="s">
        <v>15</v>
      </c>
    </row>
    <row r="8" spans="1:3" x14ac:dyDescent="0.25">
      <c r="A8" s="34" t="s">
        <v>16</v>
      </c>
      <c r="B8" s="34" t="s">
        <v>17</v>
      </c>
      <c r="C8" s="32" t="s">
        <v>18</v>
      </c>
    </row>
    <row r="9" spans="1:3" x14ac:dyDescent="0.25">
      <c r="A9" s="34" t="s">
        <v>19</v>
      </c>
      <c r="B9" s="34" t="s">
        <v>20</v>
      </c>
      <c r="C9" s="32" t="s">
        <v>21</v>
      </c>
    </row>
    <row r="10" spans="1:3" x14ac:dyDescent="0.25">
      <c r="A10" s="34" t="s">
        <v>22</v>
      </c>
      <c r="B10" s="34" t="s">
        <v>23</v>
      </c>
      <c r="C10" s="32" t="s">
        <v>24</v>
      </c>
    </row>
    <row r="11" spans="1:3" x14ac:dyDescent="0.25">
      <c r="A11" s="34" t="s">
        <v>25</v>
      </c>
      <c r="B11" s="34" t="s">
        <v>26</v>
      </c>
      <c r="C11" s="32" t="s">
        <v>27</v>
      </c>
    </row>
    <row r="12" spans="1:3" x14ac:dyDescent="0.25">
      <c r="A12" s="34" t="s">
        <v>28</v>
      </c>
      <c r="B12" s="34" t="s">
        <v>29</v>
      </c>
      <c r="C12" s="32" t="s">
        <v>30</v>
      </c>
    </row>
    <row r="13" spans="1:3" x14ac:dyDescent="0.25">
      <c r="A13" s="34" t="s">
        <v>412</v>
      </c>
      <c r="B13" s="34" t="s">
        <v>415</v>
      </c>
      <c r="C13" s="32" t="s">
        <v>439</v>
      </c>
    </row>
    <row r="14" spans="1:3" x14ac:dyDescent="0.25">
      <c r="A14" s="34" t="s">
        <v>414</v>
      </c>
      <c r="B14" s="34" t="s">
        <v>416</v>
      </c>
      <c r="C14" s="32" t="s">
        <v>440</v>
      </c>
    </row>
    <row r="15" spans="1:3" x14ac:dyDescent="0.25">
      <c r="A15" s="34" t="s">
        <v>413</v>
      </c>
      <c r="B15" s="34" t="s">
        <v>417</v>
      </c>
      <c r="C15" s="32" t="s">
        <v>441</v>
      </c>
    </row>
    <row r="16" spans="1:3" x14ac:dyDescent="0.25">
      <c r="A16" s="34" t="s">
        <v>31</v>
      </c>
      <c r="B16" s="34" t="s">
        <v>32</v>
      </c>
      <c r="C16" s="32" t="s">
        <v>33</v>
      </c>
    </row>
    <row r="17" spans="1:3" x14ac:dyDescent="0.25">
      <c r="A17" s="34" t="s">
        <v>34</v>
      </c>
      <c r="B17" s="34" t="s">
        <v>35</v>
      </c>
      <c r="C17" s="32" t="s">
        <v>36</v>
      </c>
    </row>
    <row r="18" spans="1:3" x14ac:dyDescent="0.25">
      <c r="A18" s="34" t="s">
        <v>37</v>
      </c>
      <c r="B18" s="34" t="s">
        <v>38</v>
      </c>
      <c r="C18" s="32" t="s">
        <v>39</v>
      </c>
    </row>
    <row r="19" spans="1:3" x14ac:dyDescent="0.25">
      <c r="A19" s="34" t="s">
        <v>40</v>
      </c>
      <c r="B19" s="34" t="s">
        <v>41</v>
      </c>
      <c r="C19" s="32" t="s">
        <v>42</v>
      </c>
    </row>
    <row r="20" spans="1:3" x14ac:dyDescent="0.25">
      <c r="A20" s="34" t="s">
        <v>43</v>
      </c>
      <c r="B20" s="34" t="s">
        <v>44</v>
      </c>
      <c r="C20" s="32" t="s">
        <v>45</v>
      </c>
    </row>
    <row r="21" spans="1:3" x14ac:dyDescent="0.25">
      <c r="A21" s="34" t="s">
        <v>46</v>
      </c>
      <c r="B21" s="34" t="s">
        <v>47</v>
      </c>
      <c r="C21" s="32" t="s">
        <v>48</v>
      </c>
    </row>
    <row r="22" spans="1:3" x14ac:dyDescent="0.25">
      <c r="A22" s="34" t="s">
        <v>49</v>
      </c>
      <c r="B22" s="34" t="s">
        <v>50</v>
      </c>
      <c r="C22" s="32" t="s">
        <v>51</v>
      </c>
    </row>
    <row r="23" spans="1:3" x14ac:dyDescent="0.25">
      <c r="A23" s="34" t="s">
        <v>52</v>
      </c>
      <c r="B23" s="34" t="s">
        <v>53</v>
      </c>
      <c r="C23" s="32" t="s">
        <v>54</v>
      </c>
    </row>
    <row r="24" spans="1:3" x14ac:dyDescent="0.25">
      <c r="A24" s="34" t="s">
        <v>55</v>
      </c>
      <c r="B24" s="34" t="s">
        <v>56</v>
      </c>
      <c r="C24" s="32" t="s">
        <v>57</v>
      </c>
    </row>
    <row r="25" spans="1:3" x14ac:dyDescent="0.25">
      <c r="A25" s="34" t="s">
        <v>58</v>
      </c>
      <c r="B25" s="34" t="s">
        <v>59</v>
      </c>
      <c r="C25" s="32" t="s">
        <v>60</v>
      </c>
    </row>
    <row r="26" spans="1:3" x14ac:dyDescent="0.25">
      <c r="A26" s="34" t="s">
        <v>61</v>
      </c>
      <c r="B26" s="34" t="s">
        <v>62</v>
      </c>
      <c r="C26" s="32" t="s">
        <v>63</v>
      </c>
    </row>
    <row r="27" spans="1:3" x14ac:dyDescent="0.25">
      <c r="A27" s="34" t="s">
        <v>64</v>
      </c>
      <c r="B27" s="34" t="s">
        <v>65</v>
      </c>
      <c r="C27" s="32" t="s">
        <v>66</v>
      </c>
    </row>
    <row r="28" spans="1:3" x14ac:dyDescent="0.25">
      <c r="A28" s="34" t="s">
        <v>67</v>
      </c>
      <c r="B28" s="34" t="s">
        <v>68</v>
      </c>
      <c r="C28" s="32" t="s">
        <v>69</v>
      </c>
    </row>
    <row r="29" spans="1:3" x14ac:dyDescent="0.25">
      <c r="A29" s="34" t="s">
        <v>70</v>
      </c>
      <c r="B29" s="34" t="s">
        <v>71</v>
      </c>
      <c r="C29" s="32" t="s">
        <v>72</v>
      </c>
    </row>
    <row r="30" spans="1:3" x14ac:dyDescent="0.25">
      <c r="A30" s="34" t="s">
        <v>73</v>
      </c>
      <c r="B30" s="34" t="s">
        <v>74</v>
      </c>
      <c r="C30" s="32" t="s">
        <v>75</v>
      </c>
    </row>
    <row r="31" spans="1:3" x14ac:dyDescent="0.25">
      <c r="A31" s="34" t="s">
        <v>76</v>
      </c>
      <c r="B31" s="34" t="s">
        <v>77</v>
      </c>
      <c r="C31" s="32" t="s">
        <v>78</v>
      </c>
    </row>
    <row r="32" spans="1:3" x14ac:dyDescent="0.25">
      <c r="B32" s="34" t="s">
        <v>79</v>
      </c>
      <c r="C32" s="32" t="s">
        <v>80</v>
      </c>
    </row>
    <row r="34" spans="1:3" x14ac:dyDescent="0.25">
      <c r="A34" s="33" t="s">
        <v>81</v>
      </c>
    </row>
    <row r="35" spans="1:3" x14ac:dyDescent="0.25">
      <c r="A35" s="34" t="s">
        <v>82</v>
      </c>
      <c r="B35" s="34" t="s">
        <v>2</v>
      </c>
      <c r="C35" s="34" t="s">
        <v>83</v>
      </c>
    </row>
    <row r="36" spans="1:3" x14ac:dyDescent="0.25">
      <c r="A36" s="34" t="s">
        <v>84</v>
      </c>
      <c r="B36" s="34" t="s">
        <v>85</v>
      </c>
      <c r="C36" s="34" t="s">
        <v>86</v>
      </c>
    </row>
    <row r="37" spans="1:3" x14ac:dyDescent="0.25">
      <c r="A37" s="34" t="s">
        <v>87</v>
      </c>
      <c r="B37" s="34" t="s">
        <v>11</v>
      </c>
      <c r="C37" s="34" t="s">
        <v>88</v>
      </c>
    </row>
    <row r="38" spans="1:3" x14ac:dyDescent="0.25">
      <c r="A38" s="34" t="s">
        <v>89</v>
      </c>
      <c r="B38" s="34" t="s">
        <v>14</v>
      </c>
      <c r="C38" s="34" t="s">
        <v>90</v>
      </c>
    </row>
    <row r="39" spans="1:3" x14ac:dyDescent="0.25">
      <c r="A39" s="34" t="s">
        <v>91</v>
      </c>
      <c r="B39" s="34" t="s">
        <v>17</v>
      </c>
      <c r="C39" s="34" t="s">
        <v>92</v>
      </c>
    </row>
    <row r="40" spans="1:3" x14ac:dyDescent="0.25">
      <c r="A40" s="34" t="s">
        <v>93</v>
      </c>
      <c r="B40" s="34" t="s">
        <v>20</v>
      </c>
      <c r="C40" s="34" t="s">
        <v>94</v>
      </c>
    </row>
    <row r="41" spans="1:3" x14ac:dyDescent="0.25">
      <c r="A41" s="34" t="s">
        <v>95</v>
      </c>
      <c r="B41" s="34" t="s">
        <v>23</v>
      </c>
      <c r="C41" s="34" t="s">
        <v>96</v>
      </c>
    </row>
    <row r="42" spans="1:3" x14ac:dyDescent="0.25">
      <c r="A42" s="34" t="s">
        <v>97</v>
      </c>
      <c r="B42" s="34" t="s">
        <v>26</v>
      </c>
      <c r="C42" s="34" t="s">
        <v>98</v>
      </c>
    </row>
    <row r="43" spans="1:3" x14ac:dyDescent="0.25">
      <c r="A43" s="34" t="s">
        <v>99</v>
      </c>
      <c r="B43" s="34" t="s">
        <v>29</v>
      </c>
      <c r="C43" s="34" t="s">
        <v>100</v>
      </c>
    </row>
    <row r="44" spans="1:3" x14ac:dyDescent="0.25">
      <c r="A44" s="34" t="s">
        <v>101</v>
      </c>
      <c r="B44" s="34" t="s">
        <v>56</v>
      </c>
      <c r="C44" s="34" t="s">
        <v>102</v>
      </c>
    </row>
    <row r="45" spans="1:3" x14ac:dyDescent="0.25">
      <c r="A45" s="34" t="s">
        <v>103</v>
      </c>
      <c r="B45" s="34" t="s">
        <v>104</v>
      </c>
      <c r="C45" s="34" t="s">
        <v>105</v>
      </c>
    </row>
    <row r="46" spans="1:3" x14ac:dyDescent="0.25">
      <c r="A46" s="34" t="s">
        <v>106</v>
      </c>
      <c r="B46" s="34" t="s">
        <v>107</v>
      </c>
      <c r="C46" s="34" t="s">
        <v>108</v>
      </c>
    </row>
    <row r="47" spans="1:3" x14ac:dyDescent="0.25">
      <c r="A47" s="34" t="s">
        <v>109</v>
      </c>
      <c r="B47" s="34" t="s">
        <v>110</v>
      </c>
      <c r="C47" s="34" t="s">
        <v>111</v>
      </c>
    </row>
    <row r="48" spans="1:3" x14ac:dyDescent="0.25">
      <c r="A48" s="34" t="s">
        <v>112</v>
      </c>
      <c r="B48" s="34" t="s">
        <v>113</v>
      </c>
      <c r="C48" s="34" t="s">
        <v>114</v>
      </c>
    </row>
    <row r="49" spans="1:3" x14ac:dyDescent="0.25">
      <c r="A49" s="34" t="s">
        <v>115</v>
      </c>
      <c r="B49" s="34" t="s">
        <v>116</v>
      </c>
      <c r="C49" s="34" t="s">
        <v>117</v>
      </c>
    </row>
    <row r="50" spans="1:3" x14ac:dyDescent="0.25">
      <c r="A50" s="34" t="s">
        <v>118</v>
      </c>
      <c r="B50" s="34" t="s">
        <v>119</v>
      </c>
      <c r="C50" s="34" t="s">
        <v>120</v>
      </c>
    </row>
    <row r="51" spans="1:3" x14ac:dyDescent="0.25">
      <c r="A51" s="34" t="s">
        <v>121</v>
      </c>
      <c r="B51" s="34" t="s">
        <v>122</v>
      </c>
      <c r="C51" s="34" t="s">
        <v>123</v>
      </c>
    </row>
    <row r="52" spans="1:3" x14ac:dyDescent="0.25">
      <c r="B52" s="34" t="s">
        <v>124</v>
      </c>
      <c r="C52" s="32" t="s">
        <v>80</v>
      </c>
    </row>
    <row r="54" spans="1:3" x14ac:dyDescent="0.25">
      <c r="A54" s="33" t="s">
        <v>125</v>
      </c>
    </row>
    <row r="55" spans="1:3" x14ac:dyDescent="0.25">
      <c r="A55" s="34" t="s">
        <v>126</v>
      </c>
      <c r="B55" s="32" t="s">
        <v>2</v>
      </c>
      <c r="C55" s="32" t="s">
        <v>127</v>
      </c>
    </row>
    <row r="56" spans="1:3" x14ac:dyDescent="0.25">
      <c r="A56" s="34" t="s">
        <v>128</v>
      </c>
      <c r="B56" s="34" t="s">
        <v>8</v>
      </c>
      <c r="C56" s="32" t="s">
        <v>129</v>
      </c>
    </row>
    <row r="57" spans="1:3" x14ac:dyDescent="0.25">
      <c r="A57" s="34" t="s">
        <v>130</v>
      </c>
      <c r="B57" s="34" t="s">
        <v>11</v>
      </c>
      <c r="C57" s="32" t="s">
        <v>131</v>
      </c>
    </row>
    <row r="58" spans="1:3" x14ac:dyDescent="0.25">
      <c r="A58" s="34" t="s">
        <v>132</v>
      </c>
      <c r="B58" s="34" t="s">
        <v>14</v>
      </c>
      <c r="C58" s="32" t="s">
        <v>133</v>
      </c>
    </row>
    <row r="59" spans="1:3" x14ac:dyDescent="0.25">
      <c r="A59" s="34" t="s">
        <v>134</v>
      </c>
      <c r="B59" s="34" t="s">
        <v>17</v>
      </c>
      <c r="C59" s="32" t="s">
        <v>135</v>
      </c>
    </row>
    <row r="60" spans="1:3" x14ac:dyDescent="0.25">
      <c r="A60" s="34" t="s">
        <v>136</v>
      </c>
      <c r="B60" s="34" t="s">
        <v>20</v>
      </c>
      <c r="C60" s="32" t="s">
        <v>137</v>
      </c>
    </row>
    <row r="61" spans="1:3" x14ac:dyDescent="0.25">
      <c r="A61" s="34" t="s">
        <v>138</v>
      </c>
      <c r="B61" s="34" t="s">
        <v>23</v>
      </c>
      <c r="C61" s="32" t="s">
        <v>139</v>
      </c>
    </row>
    <row r="62" spans="1:3" x14ac:dyDescent="0.25">
      <c r="A62" s="34" t="s">
        <v>140</v>
      </c>
      <c r="B62" s="34" t="s">
        <v>26</v>
      </c>
      <c r="C62" s="32" t="s">
        <v>141</v>
      </c>
    </row>
    <row r="63" spans="1:3" x14ac:dyDescent="0.25">
      <c r="A63" s="34" t="s">
        <v>142</v>
      </c>
      <c r="B63" s="34" t="s">
        <v>143</v>
      </c>
      <c r="C63" s="32" t="s">
        <v>144</v>
      </c>
    </row>
    <row r="64" spans="1:3" x14ac:dyDescent="0.25">
      <c r="A64" s="34" t="s">
        <v>145</v>
      </c>
      <c r="B64" s="34" t="s">
        <v>32</v>
      </c>
      <c r="C64" s="32" t="s">
        <v>146</v>
      </c>
    </row>
    <row r="65" spans="1:3" x14ac:dyDescent="0.25">
      <c r="A65" s="34" t="s">
        <v>420</v>
      </c>
      <c r="B65" s="34" t="s">
        <v>418</v>
      </c>
      <c r="C65" s="32" t="s">
        <v>425</v>
      </c>
    </row>
    <row r="66" spans="1:3" x14ac:dyDescent="0.25">
      <c r="A66" s="34" t="s">
        <v>421</v>
      </c>
      <c r="B66" s="34" t="s">
        <v>419</v>
      </c>
      <c r="C66" s="32" t="s">
        <v>429</v>
      </c>
    </row>
    <row r="67" spans="1:3" x14ac:dyDescent="0.25">
      <c r="A67" s="34" t="s">
        <v>422</v>
      </c>
      <c r="B67" s="34" t="s">
        <v>415</v>
      </c>
      <c r="C67" s="32" t="s">
        <v>426</v>
      </c>
    </row>
    <row r="68" spans="1:3" x14ac:dyDescent="0.25">
      <c r="A68" s="34" t="s">
        <v>423</v>
      </c>
      <c r="B68" s="34" t="s">
        <v>416</v>
      </c>
      <c r="C68" s="32" t="s">
        <v>427</v>
      </c>
    </row>
    <row r="69" spans="1:3" x14ac:dyDescent="0.25">
      <c r="A69" s="34" t="s">
        <v>424</v>
      </c>
      <c r="B69" s="34" t="s">
        <v>417</v>
      </c>
      <c r="C69" s="32" t="s">
        <v>428</v>
      </c>
    </row>
    <row r="70" spans="1:3" x14ac:dyDescent="0.25">
      <c r="A70" s="34" t="s">
        <v>147</v>
      </c>
      <c r="B70" s="34" t="s">
        <v>148</v>
      </c>
      <c r="C70" s="32" t="s">
        <v>149</v>
      </c>
    </row>
    <row r="71" spans="1:3" x14ac:dyDescent="0.25">
      <c r="A71" s="34" t="s">
        <v>150</v>
      </c>
      <c r="B71" s="34" t="s">
        <v>151</v>
      </c>
      <c r="C71" s="32" t="s">
        <v>152</v>
      </c>
    </row>
    <row r="72" spans="1:3" x14ac:dyDescent="0.25">
      <c r="A72" s="34" t="s">
        <v>153</v>
      </c>
      <c r="B72" s="34" t="s">
        <v>154</v>
      </c>
      <c r="C72" s="32" t="s">
        <v>155</v>
      </c>
    </row>
    <row r="73" spans="1:3" x14ac:dyDescent="0.25">
      <c r="A73" s="34" t="s">
        <v>156</v>
      </c>
      <c r="B73" s="34" t="s">
        <v>157</v>
      </c>
      <c r="C73" s="32" t="s">
        <v>158</v>
      </c>
    </row>
    <row r="74" spans="1:3" x14ac:dyDescent="0.25">
      <c r="A74" s="34" t="s">
        <v>159</v>
      </c>
      <c r="B74" s="34" t="s">
        <v>160</v>
      </c>
      <c r="C74" s="32" t="s">
        <v>161</v>
      </c>
    </row>
    <row r="75" spans="1:3" x14ac:dyDescent="0.25">
      <c r="A75" s="34" t="s">
        <v>162</v>
      </c>
      <c r="B75" s="34" t="s">
        <v>163</v>
      </c>
      <c r="C75" s="32" t="s">
        <v>164</v>
      </c>
    </row>
    <row r="76" spans="1:3" x14ac:dyDescent="0.25">
      <c r="A76" s="34" t="s">
        <v>165</v>
      </c>
      <c r="B76" s="34" t="s">
        <v>166</v>
      </c>
      <c r="C76" s="32" t="s">
        <v>167</v>
      </c>
    </row>
    <row r="77" spans="1:3" x14ac:dyDescent="0.25">
      <c r="A77" s="34" t="s">
        <v>168</v>
      </c>
      <c r="B77" s="34" t="s">
        <v>56</v>
      </c>
      <c r="C77" s="32" t="s">
        <v>169</v>
      </c>
    </row>
    <row r="78" spans="1:3" x14ac:dyDescent="0.25">
      <c r="A78" s="34" t="s">
        <v>170</v>
      </c>
      <c r="B78" s="34" t="s">
        <v>35</v>
      </c>
      <c r="C78" s="32" t="s">
        <v>171</v>
      </c>
    </row>
    <row r="79" spans="1:3" x14ac:dyDescent="0.25">
      <c r="A79" s="34" t="s">
        <v>172</v>
      </c>
      <c r="B79" s="34" t="s">
        <v>38</v>
      </c>
      <c r="C79" s="32" t="s">
        <v>173</v>
      </c>
    </row>
    <row r="80" spans="1:3" x14ac:dyDescent="0.25">
      <c r="A80" s="34" t="s">
        <v>174</v>
      </c>
      <c r="B80" s="34" t="s">
        <v>41</v>
      </c>
      <c r="C80" s="32" t="s">
        <v>175</v>
      </c>
    </row>
    <row r="81" spans="1:3" x14ac:dyDescent="0.25">
      <c r="A81" s="34" t="s">
        <v>176</v>
      </c>
      <c r="B81" s="34" t="s">
        <v>44</v>
      </c>
      <c r="C81" s="32" t="s">
        <v>177</v>
      </c>
    </row>
    <row r="82" spans="1:3" x14ac:dyDescent="0.25">
      <c r="A82" s="34" t="s">
        <v>178</v>
      </c>
      <c r="B82" s="34" t="s">
        <v>47</v>
      </c>
      <c r="C82" s="32" t="s">
        <v>179</v>
      </c>
    </row>
    <row r="83" spans="1:3" x14ac:dyDescent="0.25">
      <c r="A83" s="34" t="s">
        <v>180</v>
      </c>
      <c r="B83" s="34" t="s">
        <v>50</v>
      </c>
      <c r="C83" s="32" t="s">
        <v>181</v>
      </c>
    </row>
    <row r="84" spans="1:3" x14ac:dyDescent="0.25">
      <c r="A84" s="34" t="s">
        <v>182</v>
      </c>
      <c r="B84" s="34" t="s">
        <v>53</v>
      </c>
      <c r="C84" s="32" t="s">
        <v>183</v>
      </c>
    </row>
    <row r="85" spans="1:3" x14ac:dyDescent="0.25">
      <c r="B85" s="34" t="s">
        <v>79</v>
      </c>
      <c r="C85" s="32" t="s">
        <v>80</v>
      </c>
    </row>
    <row r="87" spans="1:3" x14ac:dyDescent="0.25">
      <c r="A87" s="33" t="s">
        <v>184</v>
      </c>
      <c r="B87" s="32"/>
    </row>
    <row r="88" spans="1:3" x14ac:dyDescent="0.25">
      <c r="A88" s="34" t="s">
        <v>185</v>
      </c>
      <c r="B88" s="34" t="s">
        <v>186</v>
      </c>
      <c r="C88" s="32" t="s">
        <v>187</v>
      </c>
    </row>
    <row r="89" spans="1:3" x14ac:dyDescent="0.25">
      <c r="A89" s="34" t="s">
        <v>188</v>
      </c>
      <c r="B89" s="34" t="s">
        <v>189</v>
      </c>
      <c r="C89" s="32" t="s">
        <v>190</v>
      </c>
    </row>
    <row r="90" spans="1:3" x14ac:dyDescent="0.25">
      <c r="A90" s="34" t="s">
        <v>191</v>
      </c>
      <c r="B90" s="34" t="s">
        <v>192</v>
      </c>
      <c r="C90" s="34" t="s">
        <v>193</v>
      </c>
    </row>
    <row r="91" spans="1:3" x14ac:dyDescent="0.25">
      <c r="A91" s="34" t="s">
        <v>194</v>
      </c>
      <c r="B91" s="34" t="s">
        <v>195</v>
      </c>
      <c r="C91" s="32" t="s">
        <v>196</v>
      </c>
    </row>
    <row r="92" spans="1:3" x14ac:dyDescent="0.25">
      <c r="A92" s="34" t="s">
        <v>197</v>
      </c>
      <c r="B92" s="34" t="s">
        <v>198</v>
      </c>
      <c r="C92" s="32" t="s">
        <v>199</v>
      </c>
    </row>
    <row r="93" spans="1:3" x14ac:dyDescent="0.25">
      <c r="A93" s="34" t="s">
        <v>200</v>
      </c>
      <c r="B93" s="34" t="s">
        <v>201</v>
      </c>
      <c r="C93" s="32" t="s">
        <v>202</v>
      </c>
    </row>
    <row r="94" spans="1:3" x14ac:dyDescent="0.25">
      <c r="A94" s="34" t="s">
        <v>203</v>
      </c>
      <c r="B94" s="34" t="s">
        <v>204</v>
      </c>
      <c r="C94" s="34" t="s">
        <v>205</v>
      </c>
    </row>
    <row r="95" spans="1:3" x14ac:dyDescent="0.25">
      <c r="A95" s="34" t="s">
        <v>206</v>
      </c>
      <c r="B95" s="34" t="s">
        <v>207</v>
      </c>
      <c r="C95" s="32" t="s">
        <v>208</v>
      </c>
    </row>
    <row r="96" spans="1:3" x14ac:dyDescent="0.25">
      <c r="A96" s="34" t="s">
        <v>209</v>
      </c>
      <c r="B96" s="34" t="s">
        <v>210</v>
      </c>
      <c r="C96" s="32" t="s">
        <v>211</v>
      </c>
    </row>
    <row r="97" spans="1:3" x14ac:dyDescent="0.25">
      <c r="A97" s="34" t="s">
        <v>212</v>
      </c>
      <c r="B97" s="34" t="s">
        <v>213</v>
      </c>
      <c r="C97" s="32" t="s">
        <v>214</v>
      </c>
    </row>
    <row r="98" spans="1:3" x14ac:dyDescent="0.25">
      <c r="A98" s="34" t="s">
        <v>215</v>
      </c>
      <c r="B98" s="34" t="s">
        <v>216</v>
      </c>
      <c r="C98" s="34" t="s">
        <v>217</v>
      </c>
    </row>
    <row r="99" spans="1:3" x14ac:dyDescent="0.25">
      <c r="A99" s="34" t="s">
        <v>430</v>
      </c>
      <c r="B99" s="34" t="s">
        <v>434</v>
      </c>
      <c r="C99" s="32" t="s">
        <v>432</v>
      </c>
    </row>
    <row r="100" spans="1:3" x14ac:dyDescent="0.25">
      <c r="A100" s="34" t="s">
        <v>218</v>
      </c>
      <c r="B100" s="34" t="s">
        <v>219</v>
      </c>
      <c r="C100" s="32" t="s">
        <v>220</v>
      </c>
    </row>
    <row r="101" spans="1:3" x14ac:dyDescent="0.25">
      <c r="A101" s="34" t="s">
        <v>431</v>
      </c>
      <c r="B101" s="34" t="s">
        <v>435</v>
      </c>
      <c r="C101" s="32" t="s">
        <v>433</v>
      </c>
    </row>
    <row r="102" spans="1:3" x14ac:dyDescent="0.25">
      <c r="A102" s="34" t="s">
        <v>221</v>
      </c>
      <c r="B102" s="34" t="s">
        <v>222</v>
      </c>
      <c r="C102" s="32" t="s">
        <v>223</v>
      </c>
    </row>
    <row r="103" spans="1:3" x14ac:dyDescent="0.25">
      <c r="A103" s="34" t="s">
        <v>224</v>
      </c>
      <c r="B103" s="34" t="s">
        <v>225</v>
      </c>
      <c r="C103" s="32" t="s">
        <v>226</v>
      </c>
    </row>
    <row r="104" spans="1:3" x14ac:dyDescent="0.25">
      <c r="A104" s="34" t="s">
        <v>227</v>
      </c>
      <c r="B104" s="34" t="s">
        <v>228</v>
      </c>
      <c r="C104" s="32" t="s">
        <v>229</v>
      </c>
    </row>
    <row r="105" spans="1:3" x14ac:dyDescent="0.25">
      <c r="A105" s="34" t="s">
        <v>230</v>
      </c>
      <c r="B105" s="34" t="s">
        <v>231</v>
      </c>
      <c r="C105" s="32" t="s">
        <v>232</v>
      </c>
    </row>
    <row r="106" spans="1:3" x14ac:dyDescent="0.25">
      <c r="A106" s="34" t="s">
        <v>233</v>
      </c>
      <c r="B106" s="34" t="s">
        <v>234</v>
      </c>
      <c r="C106" s="32" t="s">
        <v>235</v>
      </c>
    </row>
    <row r="107" spans="1:3" x14ac:dyDescent="0.25">
      <c r="B107" s="34" t="s">
        <v>79</v>
      </c>
      <c r="C107" s="32" t="s">
        <v>80</v>
      </c>
    </row>
    <row r="109" spans="1:3" x14ac:dyDescent="0.25">
      <c r="A109" s="33" t="s">
        <v>236</v>
      </c>
    </row>
    <row r="110" spans="1:3" x14ac:dyDescent="0.25">
      <c r="A110" s="34" t="s">
        <v>237</v>
      </c>
      <c r="B110" s="34" t="s">
        <v>238</v>
      </c>
      <c r="C110" s="32" t="s">
        <v>239</v>
      </c>
    </row>
    <row r="111" spans="1:3" x14ac:dyDescent="0.25">
      <c r="A111" s="34" t="s">
        <v>240</v>
      </c>
      <c r="B111" s="34" t="s">
        <v>241</v>
      </c>
      <c r="C111" s="32" t="s">
        <v>242</v>
      </c>
    </row>
    <row r="112" spans="1:3" x14ac:dyDescent="0.25">
      <c r="A112" s="34" t="s">
        <v>243</v>
      </c>
      <c r="B112" s="34" t="s">
        <v>244</v>
      </c>
      <c r="C112" s="32" t="s">
        <v>245</v>
      </c>
    </row>
    <row r="113" spans="1:3" x14ac:dyDescent="0.25">
      <c r="A113" s="34" t="s">
        <v>246</v>
      </c>
      <c r="B113" s="34" t="s">
        <v>247</v>
      </c>
      <c r="C113" s="32" t="s">
        <v>248</v>
      </c>
    </row>
    <row r="114" spans="1:3" x14ac:dyDescent="0.25">
      <c r="A114" s="34" t="s">
        <v>249</v>
      </c>
      <c r="B114" s="34" t="s">
        <v>250</v>
      </c>
      <c r="C114" s="32" t="s">
        <v>251</v>
      </c>
    </row>
    <row r="115" spans="1:3" x14ac:dyDescent="0.25">
      <c r="A115" s="34" t="s">
        <v>252</v>
      </c>
      <c r="B115" s="34" t="s">
        <v>253</v>
      </c>
      <c r="C115" s="32" t="s">
        <v>254</v>
      </c>
    </row>
    <row r="116" spans="1:3" x14ac:dyDescent="0.25">
      <c r="A116" s="34" t="s">
        <v>255</v>
      </c>
      <c r="B116" s="34" t="s">
        <v>256</v>
      </c>
      <c r="C116" s="32" t="s">
        <v>257</v>
      </c>
    </row>
    <row r="117" spans="1:3" x14ac:dyDescent="0.25">
      <c r="A117" s="34" t="s">
        <v>258</v>
      </c>
      <c r="B117" s="34" t="s">
        <v>259</v>
      </c>
      <c r="C117" s="32" t="s">
        <v>260</v>
      </c>
    </row>
    <row r="118" spans="1:3" x14ac:dyDescent="0.25">
      <c r="A118" s="34" t="s">
        <v>261</v>
      </c>
      <c r="B118" s="34" t="s">
        <v>262</v>
      </c>
      <c r="C118" s="32" t="s">
        <v>263</v>
      </c>
    </row>
    <row r="119" spans="1:3" x14ac:dyDescent="0.25">
      <c r="A119" s="34" t="s">
        <v>264</v>
      </c>
      <c r="B119" s="34" t="s">
        <v>265</v>
      </c>
      <c r="C119" s="32" t="s">
        <v>266</v>
      </c>
    </row>
    <row r="120" spans="1:3" x14ac:dyDescent="0.25">
      <c r="A120" s="34" t="s">
        <v>267</v>
      </c>
      <c r="B120" s="34" t="s">
        <v>268</v>
      </c>
      <c r="C120" s="32" t="s">
        <v>269</v>
      </c>
    </row>
    <row r="121" spans="1:3" x14ac:dyDescent="0.25">
      <c r="A121" s="34" t="s">
        <v>270</v>
      </c>
      <c r="B121" s="34" t="s">
        <v>271</v>
      </c>
      <c r="C121" s="32" t="s">
        <v>272</v>
      </c>
    </row>
    <row r="122" spans="1:3" x14ac:dyDescent="0.25">
      <c r="B122" s="34" t="s">
        <v>79</v>
      </c>
      <c r="C122" s="32" t="s">
        <v>80</v>
      </c>
    </row>
    <row r="123" spans="1:3" x14ac:dyDescent="0.25">
      <c r="C123" s="32"/>
    </row>
    <row r="124" spans="1:3" x14ac:dyDescent="0.25">
      <c r="A124" s="33" t="s">
        <v>273</v>
      </c>
    </row>
    <row r="125" spans="1:3" x14ac:dyDescent="0.25">
      <c r="A125" s="34" t="s">
        <v>274</v>
      </c>
      <c r="B125" s="34" t="s">
        <v>275</v>
      </c>
      <c r="C125" s="32" t="s">
        <v>276</v>
      </c>
    </row>
    <row r="126" spans="1:3" x14ac:dyDescent="0.25">
      <c r="A126" s="34" t="s">
        <v>277</v>
      </c>
      <c r="B126" s="34" t="s">
        <v>278</v>
      </c>
      <c r="C126" s="32" t="s">
        <v>279</v>
      </c>
    </row>
    <row r="127" spans="1:3" x14ac:dyDescent="0.25">
      <c r="A127" s="34" t="s">
        <v>280</v>
      </c>
      <c r="B127" s="34" t="s">
        <v>281</v>
      </c>
      <c r="C127" s="32" t="s">
        <v>282</v>
      </c>
    </row>
    <row r="128" spans="1:3" x14ac:dyDescent="0.25">
      <c r="A128" s="34" t="s">
        <v>283</v>
      </c>
      <c r="B128" s="34" t="s">
        <v>284</v>
      </c>
      <c r="C128" s="32" t="s">
        <v>285</v>
      </c>
    </row>
    <row r="129" spans="1:3" x14ac:dyDescent="0.25">
      <c r="A129" s="34" t="s">
        <v>286</v>
      </c>
      <c r="B129" s="34" t="s">
        <v>287</v>
      </c>
      <c r="C129" s="32" t="s">
        <v>288</v>
      </c>
    </row>
    <row r="130" spans="1:3" x14ac:dyDescent="0.25">
      <c r="A130" s="34" t="s">
        <v>436</v>
      </c>
      <c r="B130" s="34" t="s">
        <v>438</v>
      </c>
      <c r="C130" s="32" t="s">
        <v>437</v>
      </c>
    </row>
    <row r="131" spans="1:3" x14ac:dyDescent="0.25">
      <c r="B131" s="34" t="s">
        <v>79</v>
      </c>
      <c r="C131" s="32" t="s">
        <v>80</v>
      </c>
    </row>
    <row r="139" spans="1:3" ht="15" x14ac:dyDescent="0.25">
      <c r="A139" s="35"/>
    </row>
    <row r="140" spans="1:3" x14ac:dyDescent="0.25">
      <c r="C140" s="32"/>
    </row>
    <row r="141" spans="1:3" x14ac:dyDescent="0.25">
      <c r="C141" s="32"/>
    </row>
    <row r="142" spans="1:3" x14ac:dyDescent="0.25">
      <c r="C142" s="32"/>
    </row>
    <row r="143" spans="1:3" x14ac:dyDescent="0.25">
      <c r="C143" s="32"/>
    </row>
    <row r="144" spans="1:3" x14ac:dyDescent="0.25">
      <c r="C144" s="32"/>
    </row>
    <row r="145" spans="3:3" x14ac:dyDescent="0.25">
      <c r="C145" s="32"/>
    </row>
    <row r="146" spans="3:3" x14ac:dyDescent="0.25">
      <c r="C146" s="32"/>
    </row>
    <row r="147" spans="3:3" x14ac:dyDescent="0.25">
      <c r="C147" s="32"/>
    </row>
    <row r="148" spans="3:3" x14ac:dyDescent="0.25">
      <c r="C148" s="32"/>
    </row>
    <row r="149" spans="3:3" x14ac:dyDescent="0.25">
      <c r="C149" s="32"/>
    </row>
    <row r="150" spans="3:3" x14ac:dyDescent="0.25">
      <c r="C150" s="32"/>
    </row>
    <row r="151" spans="3:3" x14ac:dyDescent="0.25">
      <c r="C151" s="32"/>
    </row>
    <row r="152" spans="3:3" x14ac:dyDescent="0.25">
      <c r="C152" s="32"/>
    </row>
    <row r="153" spans="3:3" x14ac:dyDescent="0.25">
      <c r="C153" s="32"/>
    </row>
    <row r="154" spans="3:3" x14ac:dyDescent="0.25">
      <c r="C154" s="32"/>
    </row>
    <row r="155" spans="3:3" x14ac:dyDescent="0.25">
      <c r="C155" s="32"/>
    </row>
    <row r="156" spans="3:3" x14ac:dyDescent="0.25">
      <c r="C156" s="32"/>
    </row>
    <row r="169" spans="1:3" ht="17.399999999999999" x14ac:dyDescent="0.3">
      <c r="A169" s="36"/>
    </row>
    <row r="170" spans="1:3" x14ac:dyDescent="0.25">
      <c r="C170" s="32"/>
    </row>
    <row r="171" spans="1:3" x14ac:dyDescent="0.25">
      <c r="C171" s="32"/>
    </row>
    <row r="172" spans="1:3" x14ac:dyDescent="0.25">
      <c r="C172" s="32"/>
    </row>
    <row r="173" spans="1:3" x14ac:dyDescent="0.25">
      <c r="C173" s="32"/>
    </row>
    <row r="174" spans="1:3" x14ac:dyDescent="0.25">
      <c r="C174" s="32"/>
    </row>
    <row r="175" spans="1:3" x14ac:dyDescent="0.25">
      <c r="C175" s="32"/>
    </row>
    <row r="176" spans="1:3" x14ac:dyDescent="0.25">
      <c r="C176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7"/>
  <dimension ref="A1:Z106"/>
  <sheetViews>
    <sheetView showGridLines="0" tabSelected="1" zoomScale="90" zoomScaleNormal="90" workbookViewId="0">
      <selection activeCell="G22" sqref="G22"/>
    </sheetView>
  </sheetViews>
  <sheetFormatPr baseColWidth="10" defaultColWidth="11.44140625" defaultRowHeight="13.2" x14ac:dyDescent="0.25"/>
  <cols>
    <col min="1" max="1" width="34.44140625" style="30" bestFit="1" customWidth="1"/>
    <col min="2" max="2" width="8.6640625" style="30" customWidth="1"/>
    <col min="3" max="4" width="10.6640625" style="30" customWidth="1"/>
    <col min="5" max="5" width="8.6640625" style="30" customWidth="1"/>
    <col min="6" max="6" width="10.6640625" style="30" customWidth="1"/>
    <col min="7" max="23" width="8.6640625" style="30" customWidth="1"/>
    <col min="24" max="16384" width="11.44140625" style="30"/>
  </cols>
  <sheetData>
    <row r="1" spans="1:26" ht="13.8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6" ht="39.6" x14ac:dyDescent="0.25">
      <c r="A2" s="37" t="s">
        <v>314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</row>
    <row r="3" spans="1:26" x14ac:dyDescent="0.25">
      <c r="A3" s="7"/>
      <c r="B3" s="8"/>
      <c r="C3" s="8"/>
      <c r="D3" s="8"/>
      <c r="E3" s="8"/>
      <c r="F3" s="8"/>
      <c r="G3" s="8"/>
      <c r="H3" s="9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</row>
    <row r="4" spans="1:26" ht="45" customHeight="1" x14ac:dyDescent="0.25">
      <c r="A4" s="48" t="s">
        <v>315</v>
      </c>
      <c r="B4" s="55" t="s">
        <v>316</v>
      </c>
      <c r="C4" s="52" t="s">
        <v>296</v>
      </c>
      <c r="D4" s="42" t="s">
        <v>297</v>
      </c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51"/>
      <c r="V4" s="42" t="s">
        <v>312</v>
      </c>
      <c r="W4" s="43"/>
    </row>
    <row r="5" spans="1:26" ht="28.5" customHeight="1" x14ac:dyDescent="0.25">
      <c r="A5" s="49"/>
      <c r="B5" s="56"/>
      <c r="C5" s="53"/>
      <c r="D5" s="58" t="s">
        <v>317</v>
      </c>
      <c r="E5" s="44" t="s">
        <v>318</v>
      </c>
      <c r="F5" s="42" t="s">
        <v>298</v>
      </c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51"/>
      <c r="T5" s="44" t="s">
        <v>319</v>
      </c>
      <c r="U5" s="44" t="s">
        <v>320</v>
      </c>
      <c r="V5" s="44" t="s">
        <v>321</v>
      </c>
      <c r="W5" s="46" t="s">
        <v>322</v>
      </c>
    </row>
    <row r="6" spans="1:26" ht="80.099999999999994" customHeight="1" x14ac:dyDescent="0.25">
      <c r="A6" s="50"/>
      <c r="B6" s="57"/>
      <c r="C6" s="54"/>
      <c r="D6" s="59"/>
      <c r="E6" s="45"/>
      <c r="F6" s="10" t="s">
        <v>323</v>
      </c>
      <c r="G6" s="11" t="s">
        <v>299</v>
      </c>
      <c r="H6" s="11" t="s">
        <v>300</v>
      </c>
      <c r="I6" s="11" t="s">
        <v>301</v>
      </c>
      <c r="J6" s="11" t="s">
        <v>302</v>
      </c>
      <c r="K6" s="11" t="s">
        <v>303</v>
      </c>
      <c r="L6" s="11" t="s">
        <v>304</v>
      </c>
      <c r="M6" s="11" t="s">
        <v>305</v>
      </c>
      <c r="N6" s="11" t="s">
        <v>306</v>
      </c>
      <c r="O6" s="11" t="s">
        <v>307</v>
      </c>
      <c r="P6" s="11" t="s">
        <v>308</v>
      </c>
      <c r="Q6" s="11" t="s">
        <v>309</v>
      </c>
      <c r="R6" s="11" t="s">
        <v>310</v>
      </c>
      <c r="S6" s="11" t="s">
        <v>311</v>
      </c>
      <c r="T6" s="45"/>
      <c r="U6" s="45"/>
      <c r="V6" s="45"/>
      <c r="W6" s="47"/>
    </row>
    <row r="7" spans="1:26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</row>
    <row r="8" spans="1:26" x14ac:dyDescent="0.25">
      <c r="A8" s="13" t="s">
        <v>289</v>
      </c>
      <c r="B8" s="14">
        <f>B9+B30+B46+B55+B66+B78+B90+B97</f>
        <v>6612</v>
      </c>
      <c r="C8" s="14">
        <f>C9+C30+C46+C55+C66+C78+C90+C97</f>
        <v>3322329</v>
      </c>
      <c r="D8" s="14">
        <f>D9+D30+D46+D55+D66+D78+D90+D97</f>
        <v>2182764</v>
      </c>
      <c r="E8" s="15">
        <f>D8/C8*100</f>
        <v>65.699814798594602</v>
      </c>
      <c r="F8" s="14">
        <f t="shared" ref="F8:V8" si="0">F9+F30+F46+F55+F66+F78+F90+F97</f>
        <v>2154697</v>
      </c>
      <c r="G8" s="14">
        <f t="shared" si="0"/>
        <v>7539</v>
      </c>
      <c r="H8" s="14">
        <f t="shared" si="0"/>
        <v>466129</v>
      </c>
      <c r="I8" s="14">
        <f t="shared" si="0"/>
        <v>12638</v>
      </c>
      <c r="J8" s="14">
        <f t="shared" si="0"/>
        <v>4351</v>
      </c>
      <c r="K8" s="14">
        <f t="shared" si="0"/>
        <v>16861.999999999996</v>
      </c>
      <c r="L8" s="14">
        <f t="shared" si="0"/>
        <v>205601.99999999997</v>
      </c>
      <c r="M8" s="14">
        <f t="shared" si="0"/>
        <v>401505</v>
      </c>
      <c r="N8" s="14">
        <f t="shared" si="0"/>
        <v>21890</v>
      </c>
      <c r="O8" s="14">
        <f t="shared" si="0"/>
        <v>16328.999999999998</v>
      </c>
      <c r="P8" s="14">
        <f t="shared" si="0"/>
        <v>12309.000000000002</v>
      </c>
      <c r="Q8" s="14">
        <f t="shared" si="0"/>
        <v>106443.99999999999</v>
      </c>
      <c r="R8" s="14">
        <f t="shared" si="0"/>
        <v>538504</v>
      </c>
      <c r="S8" s="14">
        <f t="shared" si="0"/>
        <v>344595</v>
      </c>
      <c r="T8" s="14">
        <f t="shared" si="0"/>
        <v>22974</v>
      </c>
      <c r="U8" s="14">
        <f t="shared" si="0"/>
        <v>5093</v>
      </c>
      <c r="V8" s="14">
        <f t="shared" si="0"/>
        <v>1139319</v>
      </c>
      <c r="W8" s="15">
        <v>34.300185201405398</v>
      </c>
      <c r="X8" s="39"/>
    </row>
    <row r="9" spans="1:26" ht="24.9" customHeight="1" x14ac:dyDescent="0.25">
      <c r="A9" s="38" t="s">
        <v>324</v>
      </c>
      <c r="B9" s="17">
        <f t="shared" ref="B9:V9" si="1">SUM(B10:B29)</f>
        <v>2092</v>
      </c>
      <c r="C9" s="17">
        <f t="shared" si="1"/>
        <v>1114779</v>
      </c>
      <c r="D9" s="17">
        <f t="shared" si="1"/>
        <v>762422</v>
      </c>
      <c r="E9" s="15">
        <f>D9/C9*100</f>
        <v>68.392210474004273</v>
      </c>
      <c r="F9" s="17">
        <f t="shared" si="1"/>
        <v>755615.99999999988</v>
      </c>
      <c r="G9" s="17">
        <f t="shared" si="1"/>
        <v>2339</v>
      </c>
      <c r="H9" s="17">
        <f t="shared" si="1"/>
        <v>177643</v>
      </c>
      <c r="I9" s="17">
        <f t="shared" si="1"/>
        <v>2658.9999999999995</v>
      </c>
      <c r="J9" s="17">
        <f t="shared" si="1"/>
        <v>1497</v>
      </c>
      <c r="K9" s="17">
        <f t="shared" si="1"/>
        <v>5888.9999999999991</v>
      </c>
      <c r="L9" s="17">
        <f t="shared" si="1"/>
        <v>68057.999999999985</v>
      </c>
      <c r="M9" s="17">
        <f t="shared" si="1"/>
        <v>135882.99999999997</v>
      </c>
      <c r="N9" s="17">
        <f t="shared" si="1"/>
        <v>7674.0000000000009</v>
      </c>
      <c r="O9" s="17">
        <f t="shared" si="1"/>
        <v>6394.9999999999991</v>
      </c>
      <c r="P9" s="17">
        <f t="shared" si="1"/>
        <v>4048</v>
      </c>
      <c r="Q9" s="17">
        <f t="shared" si="1"/>
        <v>34675.999999999993</v>
      </c>
      <c r="R9" s="17">
        <f t="shared" si="1"/>
        <v>172974.99999999994</v>
      </c>
      <c r="S9" s="17">
        <f t="shared" si="1"/>
        <v>135880</v>
      </c>
      <c r="T9" s="17">
        <f t="shared" si="1"/>
        <v>5642.9999999999991</v>
      </c>
      <c r="U9" s="17">
        <f t="shared" si="1"/>
        <v>1163</v>
      </c>
      <c r="V9" s="17">
        <f t="shared" si="1"/>
        <v>352111</v>
      </c>
      <c r="W9" s="15">
        <v>31.607789525995738</v>
      </c>
      <c r="X9" s="39"/>
      <c r="Z9" s="17"/>
    </row>
    <row r="10" spans="1:26" x14ac:dyDescent="0.25">
      <c r="A10" s="18" t="s">
        <v>291</v>
      </c>
      <c r="B10" s="1">
        <v>409</v>
      </c>
      <c r="C10" s="1">
        <v>234557.99999999994</v>
      </c>
      <c r="D10" s="1">
        <f>F10+U10+T10</f>
        <v>156151.99999999997</v>
      </c>
      <c r="E10" s="3">
        <f>D10/C10*100</f>
        <v>66.572873233912304</v>
      </c>
      <c r="F10" s="1">
        <f t="shared" ref="F10:F29" si="2">SUM(G10:S10)</f>
        <v>154841.99999999997</v>
      </c>
      <c r="G10" s="1">
        <v>415.99999999999994</v>
      </c>
      <c r="H10" s="1">
        <v>34657.000000000015</v>
      </c>
      <c r="I10" s="1">
        <v>574.99999999999943</v>
      </c>
      <c r="J10" s="1">
        <v>302.99999999999994</v>
      </c>
      <c r="K10" s="1">
        <v>1259.9999999999993</v>
      </c>
      <c r="L10" s="1">
        <v>15512.999999999989</v>
      </c>
      <c r="M10" s="1">
        <v>27668.999999999971</v>
      </c>
      <c r="N10" s="1">
        <v>1608.0000000000007</v>
      </c>
      <c r="O10" s="1">
        <v>1316</v>
      </c>
      <c r="P10" s="1">
        <v>769.00000000000011</v>
      </c>
      <c r="Q10" s="1">
        <v>6226.9999999999945</v>
      </c>
      <c r="R10" s="1">
        <v>37930.999999999985</v>
      </c>
      <c r="S10" s="1">
        <v>26598.000000000015</v>
      </c>
      <c r="T10" s="19">
        <v>1105.9999999999995</v>
      </c>
      <c r="U10" s="19">
        <v>203.99999999999986</v>
      </c>
      <c r="V10" s="1">
        <v>78200</v>
      </c>
      <c r="W10" s="3">
        <v>33.427126766087738</v>
      </c>
      <c r="X10" s="39"/>
      <c r="Y10" s="1"/>
    </row>
    <row r="11" spans="1:26" x14ac:dyDescent="0.25">
      <c r="A11" s="18" t="s">
        <v>325</v>
      </c>
      <c r="B11" s="1">
        <v>81</v>
      </c>
      <c r="C11" s="1">
        <v>46971</v>
      </c>
      <c r="D11" s="1">
        <f t="shared" ref="D11:D29" si="3">F11+U11+T11</f>
        <v>33472</v>
      </c>
      <c r="E11" s="3">
        <f t="shared" ref="E11:E74" si="4">D11/C11*100</f>
        <v>71.260990824125528</v>
      </c>
      <c r="F11" s="1">
        <f t="shared" si="2"/>
        <v>33252</v>
      </c>
      <c r="G11" s="1">
        <v>94.000000000000028</v>
      </c>
      <c r="H11" s="1">
        <v>7246.0000000000009</v>
      </c>
      <c r="I11" s="1">
        <v>60</v>
      </c>
      <c r="J11" s="1">
        <v>68.999999999999986</v>
      </c>
      <c r="K11" s="1">
        <v>226.99999999999986</v>
      </c>
      <c r="L11" s="1">
        <v>2673.9999999999995</v>
      </c>
      <c r="M11" s="1">
        <v>7261.0000000000009</v>
      </c>
      <c r="N11" s="1">
        <v>406.99999999999994</v>
      </c>
      <c r="O11" s="1">
        <v>262.00000000000006</v>
      </c>
      <c r="P11" s="1">
        <v>155.99999999999991</v>
      </c>
      <c r="Q11" s="1">
        <v>1166.0000000000002</v>
      </c>
      <c r="R11" s="1">
        <v>4666.9999999999991</v>
      </c>
      <c r="S11" s="1">
        <v>8963</v>
      </c>
      <c r="T11" s="19">
        <v>194</v>
      </c>
      <c r="U11" s="19">
        <v>25.999999999999993</v>
      </c>
      <c r="V11" s="1">
        <v>13499</v>
      </c>
      <c r="W11" s="3">
        <v>28.739009175874475</v>
      </c>
      <c r="X11" s="39"/>
      <c r="Y11" s="1"/>
    </row>
    <row r="12" spans="1:26" x14ac:dyDescent="0.25">
      <c r="A12" s="18" t="s">
        <v>326</v>
      </c>
      <c r="B12" s="1">
        <v>289</v>
      </c>
      <c r="C12" s="1">
        <v>160243.00000000012</v>
      </c>
      <c r="D12" s="1">
        <f t="shared" si="3"/>
        <v>109312.99999999999</v>
      </c>
      <c r="E12" s="3">
        <f t="shared" si="4"/>
        <v>68.217020400267032</v>
      </c>
      <c r="F12" s="1">
        <f t="shared" si="2"/>
        <v>108370.99999999999</v>
      </c>
      <c r="G12" s="1">
        <v>396.99999999999994</v>
      </c>
      <c r="H12" s="1">
        <v>24444.999999999996</v>
      </c>
      <c r="I12" s="1">
        <v>388.00000000000011</v>
      </c>
      <c r="J12" s="1">
        <v>219</v>
      </c>
      <c r="K12" s="1">
        <v>816.00000000000023</v>
      </c>
      <c r="L12" s="1">
        <v>10013.999999999996</v>
      </c>
      <c r="M12" s="1">
        <v>19342.999999999996</v>
      </c>
      <c r="N12" s="1">
        <v>1182</v>
      </c>
      <c r="O12" s="1">
        <v>886.99999999999955</v>
      </c>
      <c r="P12" s="1">
        <v>592.99999999999989</v>
      </c>
      <c r="Q12" s="1">
        <v>5428.0000000000009</v>
      </c>
      <c r="R12" s="1">
        <v>29462.000000000004</v>
      </c>
      <c r="S12" s="1">
        <v>15196.999999999998</v>
      </c>
      <c r="T12" s="19">
        <v>796.99999999999966</v>
      </c>
      <c r="U12" s="19">
        <v>145</v>
      </c>
      <c r="V12" s="1">
        <v>50931</v>
      </c>
      <c r="W12" s="3">
        <v>31.782979599732876</v>
      </c>
      <c r="X12" s="39"/>
      <c r="Y12" s="1"/>
    </row>
    <row r="13" spans="1:26" x14ac:dyDescent="0.25">
      <c r="A13" s="18" t="s">
        <v>327</v>
      </c>
      <c r="B13" s="1">
        <v>72</v>
      </c>
      <c r="C13" s="1">
        <v>28424.000000000004</v>
      </c>
      <c r="D13" s="1">
        <f t="shared" si="3"/>
        <v>19815</v>
      </c>
      <c r="E13" s="3">
        <f t="shared" si="4"/>
        <v>69.712215029552482</v>
      </c>
      <c r="F13" s="1">
        <f t="shared" si="2"/>
        <v>19570</v>
      </c>
      <c r="G13" s="1">
        <v>53.999999999999986</v>
      </c>
      <c r="H13" s="1">
        <v>4650.9999999999982</v>
      </c>
      <c r="I13" s="1">
        <v>43.000000000000014</v>
      </c>
      <c r="J13" s="1">
        <v>25.000000000000007</v>
      </c>
      <c r="K13" s="1">
        <v>108.99999999999997</v>
      </c>
      <c r="L13" s="1">
        <v>1945</v>
      </c>
      <c r="M13" s="1">
        <v>4983.0000000000009</v>
      </c>
      <c r="N13" s="1">
        <v>147.00000000000006</v>
      </c>
      <c r="O13" s="1">
        <v>129.00000000000003</v>
      </c>
      <c r="P13" s="1">
        <v>98.000000000000014</v>
      </c>
      <c r="Q13" s="1">
        <v>1721.9999999999998</v>
      </c>
      <c r="R13" s="1">
        <v>2561</v>
      </c>
      <c r="S13" s="1">
        <v>3103.0000000000018</v>
      </c>
      <c r="T13" s="19">
        <v>189.00000000000003</v>
      </c>
      <c r="U13" s="19">
        <v>55.999999999999993</v>
      </c>
      <c r="V13" s="1">
        <v>8609</v>
      </c>
      <c r="W13" s="3">
        <v>30.287784970447508</v>
      </c>
      <c r="X13" s="39"/>
      <c r="Y13" s="1"/>
    </row>
    <row r="14" spans="1:26" x14ac:dyDescent="0.25">
      <c r="A14" s="18" t="s">
        <v>328</v>
      </c>
      <c r="B14" s="1">
        <v>28</v>
      </c>
      <c r="C14" s="1">
        <v>12187.999999999998</v>
      </c>
      <c r="D14" s="1">
        <f t="shared" si="3"/>
        <v>7984</v>
      </c>
      <c r="E14" s="3">
        <f t="shared" si="4"/>
        <v>65.507056120774536</v>
      </c>
      <c r="F14" s="1">
        <f t="shared" si="2"/>
        <v>7872</v>
      </c>
      <c r="G14" s="1">
        <v>31</v>
      </c>
      <c r="H14" s="1">
        <v>2293</v>
      </c>
      <c r="I14" s="1">
        <v>34</v>
      </c>
      <c r="J14" s="1">
        <v>11.000000000000002</v>
      </c>
      <c r="K14" s="1">
        <v>96</v>
      </c>
      <c r="L14" s="1">
        <v>493.99999999999989</v>
      </c>
      <c r="M14" s="1">
        <v>1498.0000000000002</v>
      </c>
      <c r="N14" s="1">
        <v>65</v>
      </c>
      <c r="O14" s="1">
        <v>60</v>
      </c>
      <c r="P14" s="1">
        <v>66.000000000000014</v>
      </c>
      <c r="Q14" s="1">
        <v>661</v>
      </c>
      <c r="R14" s="1">
        <v>1050.9999999999998</v>
      </c>
      <c r="S14" s="1">
        <v>1511.9999999999998</v>
      </c>
      <c r="T14" s="19">
        <v>93.000000000000014</v>
      </c>
      <c r="U14" s="19">
        <v>19</v>
      </c>
      <c r="V14" s="1">
        <v>4203.9999999999991</v>
      </c>
      <c r="W14" s="3">
        <v>34.492943879225464</v>
      </c>
      <c r="X14" s="39"/>
      <c r="Y14" s="1"/>
    </row>
    <row r="15" spans="1:26" x14ac:dyDescent="0.25">
      <c r="A15" s="18" t="s">
        <v>329</v>
      </c>
      <c r="B15" s="1">
        <v>83</v>
      </c>
      <c r="C15" s="1">
        <v>42852.999999999993</v>
      </c>
      <c r="D15" s="1">
        <f t="shared" si="3"/>
        <v>28799.000000000011</v>
      </c>
      <c r="E15" s="3">
        <f t="shared" si="4"/>
        <v>67.204163069096708</v>
      </c>
      <c r="F15" s="1">
        <f t="shared" si="2"/>
        <v>28516.000000000011</v>
      </c>
      <c r="G15" s="1">
        <v>107</v>
      </c>
      <c r="H15" s="1">
        <v>6424.0000000000045</v>
      </c>
      <c r="I15" s="1">
        <v>84</v>
      </c>
      <c r="J15" s="1">
        <v>58.999999999999979</v>
      </c>
      <c r="K15" s="1">
        <v>201.00000000000003</v>
      </c>
      <c r="L15" s="1">
        <v>2700.0000000000018</v>
      </c>
      <c r="M15" s="1">
        <v>6024.0000000000009</v>
      </c>
      <c r="N15" s="1">
        <v>295.99999999999994</v>
      </c>
      <c r="O15" s="1">
        <v>203.99999999999991</v>
      </c>
      <c r="P15" s="1">
        <v>166.99999999999997</v>
      </c>
      <c r="Q15" s="1">
        <v>1902</v>
      </c>
      <c r="R15" s="1">
        <v>6350.9999999999982</v>
      </c>
      <c r="S15" s="1">
        <v>3997.0000000000023</v>
      </c>
      <c r="T15" s="19">
        <v>234.00000000000003</v>
      </c>
      <c r="U15" s="19">
        <v>49.000000000000021</v>
      </c>
      <c r="V15" s="1">
        <v>14054.000000000005</v>
      </c>
      <c r="W15" s="3">
        <v>32.795836930903342</v>
      </c>
      <c r="X15" s="39"/>
      <c r="Y15" s="1"/>
    </row>
    <row r="16" spans="1:26" x14ac:dyDescent="0.25">
      <c r="A16" s="18" t="s">
        <v>330</v>
      </c>
      <c r="B16" s="1">
        <v>47</v>
      </c>
      <c r="C16" s="1">
        <v>21360.999999999996</v>
      </c>
      <c r="D16" s="1">
        <f t="shared" si="3"/>
        <v>14723</v>
      </c>
      <c r="E16" s="3">
        <f t="shared" si="4"/>
        <v>68.92467581105754</v>
      </c>
      <c r="F16" s="1">
        <f t="shared" si="2"/>
        <v>14550</v>
      </c>
      <c r="G16" s="1">
        <v>38</v>
      </c>
      <c r="H16" s="1">
        <v>3685.9999999999995</v>
      </c>
      <c r="I16" s="1">
        <v>42.999999999999993</v>
      </c>
      <c r="J16" s="1">
        <v>14.000000000000002</v>
      </c>
      <c r="K16" s="1">
        <v>91</v>
      </c>
      <c r="L16" s="1">
        <v>1324</v>
      </c>
      <c r="M16" s="1">
        <v>2583.9999999999991</v>
      </c>
      <c r="N16" s="1">
        <v>139</v>
      </c>
      <c r="O16" s="1">
        <v>135.00000000000003</v>
      </c>
      <c r="P16" s="1">
        <v>74</v>
      </c>
      <c r="Q16" s="1">
        <v>680</v>
      </c>
      <c r="R16" s="1">
        <v>2916.0000000000009</v>
      </c>
      <c r="S16" s="1">
        <v>2826</v>
      </c>
      <c r="T16" s="19">
        <v>127.99999999999996</v>
      </c>
      <c r="U16" s="19">
        <v>45.000000000000007</v>
      </c>
      <c r="V16" s="1">
        <v>6637.9999999999991</v>
      </c>
      <c r="W16" s="3">
        <v>31.075324188942467</v>
      </c>
      <c r="X16" s="39"/>
      <c r="Y16" s="1"/>
    </row>
    <row r="17" spans="1:26" x14ac:dyDescent="0.25">
      <c r="A17" s="18" t="s">
        <v>331</v>
      </c>
      <c r="B17" s="1">
        <v>156</v>
      </c>
      <c r="C17" s="1">
        <v>90057.999999999956</v>
      </c>
      <c r="D17" s="1">
        <f t="shared" si="3"/>
        <v>62088</v>
      </c>
      <c r="E17" s="3">
        <f t="shared" si="4"/>
        <v>68.942237224899543</v>
      </c>
      <c r="F17" s="1">
        <f t="shared" si="2"/>
        <v>61615</v>
      </c>
      <c r="G17" s="1">
        <v>167.00000000000003</v>
      </c>
      <c r="H17" s="1">
        <v>15555.999999999998</v>
      </c>
      <c r="I17" s="1">
        <v>269.99999999999989</v>
      </c>
      <c r="J17" s="1">
        <v>113.00000000000001</v>
      </c>
      <c r="K17" s="1">
        <v>516.00000000000023</v>
      </c>
      <c r="L17" s="1">
        <v>5431.9999999999982</v>
      </c>
      <c r="M17" s="1">
        <v>9590.0000000000018</v>
      </c>
      <c r="N17" s="1">
        <v>650.00000000000034</v>
      </c>
      <c r="O17" s="1">
        <v>576</v>
      </c>
      <c r="P17" s="1">
        <v>387.00000000000006</v>
      </c>
      <c r="Q17" s="1">
        <v>2563.9999999999986</v>
      </c>
      <c r="R17" s="1">
        <v>15887.000000000002</v>
      </c>
      <c r="S17" s="1">
        <v>9907.0000000000036</v>
      </c>
      <c r="T17" s="19">
        <v>396.00000000000011</v>
      </c>
      <c r="U17" s="19">
        <v>77.000000000000014</v>
      </c>
      <c r="V17" s="1">
        <v>27969.999999999985</v>
      </c>
      <c r="W17" s="3">
        <v>31.057762775100489</v>
      </c>
      <c r="X17" s="39"/>
      <c r="Y17" s="1"/>
    </row>
    <row r="18" spans="1:26" x14ac:dyDescent="0.25">
      <c r="A18" s="18" t="s">
        <v>332</v>
      </c>
      <c r="B18" s="1">
        <v>64</v>
      </c>
      <c r="C18" s="1">
        <v>35073.999999999985</v>
      </c>
      <c r="D18" s="1">
        <f t="shared" si="3"/>
        <v>25322.999999999993</v>
      </c>
      <c r="E18" s="3">
        <f t="shared" si="4"/>
        <v>72.198779722871649</v>
      </c>
      <c r="F18" s="1">
        <f t="shared" si="2"/>
        <v>25126.999999999993</v>
      </c>
      <c r="G18" s="1">
        <v>41.999999999999993</v>
      </c>
      <c r="H18" s="1">
        <v>5700.9999999999991</v>
      </c>
      <c r="I18" s="1">
        <v>60.000000000000014</v>
      </c>
      <c r="J18" s="1">
        <v>65.000000000000014</v>
      </c>
      <c r="K18" s="1">
        <v>100</v>
      </c>
      <c r="L18" s="1">
        <v>2042.9999999999993</v>
      </c>
      <c r="M18" s="1">
        <v>5527.9999999999982</v>
      </c>
      <c r="N18" s="1">
        <v>269</v>
      </c>
      <c r="O18" s="1">
        <v>212.99999999999997</v>
      </c>
      <c r="P18" s="1">
        <v>97.999999999999986</v>
      </c>
      <c r="Q18" s="1">
        <v>947</v>
      </c>
      <c r="R18" s="1">
        <v>3554.0000000000005</v>
      </c>
      <c r="S18" s="1">
        <v>6506.9999999999973</v>
      </c>
      <c r="T18" s="19">
        <v>165</v>
      </c>
      <c r="U18" s="19">
        <v>30.999999999999996</v>
      </c>
      <c r="V18" s="1">
        <v>9751.0000000000018</v>
      </c>
      <c r="W18" s="3">
        <v>27.801220277128376</v>
      </c>
      <c r="X18" s="39"/>
      <c r="Y18" s="1"/>
    </row>
    <row r="19" spans="1:26" x14ac:dyDescent="0.25">
      <c r="A19" s="18" t="s">
        <v>333</v>
      </c>
      <c r="B19" s="1">
        <v>88</v>
      </c>
      <c r="C19" s="1">
        <v>50373.000000000029</v>
      </c>
      <c r="D19" s="1">
        <f t="shared" si="3"/>
        <v>32210</v>
      </c>
      <c r="E19" s="3">
        <f t="shared" si="4"/>
        <v>63.942985329442322</v>
      </c>
      <c r="F19" s="1">
        <f t="shared" si="2"/>
        <v>31811</v>
      </c>
      <c r="G19" s="1">
        <v>145.00000000000003</v>
      </c>
      <c r="H19" s="1">
        <v>5813</v>
      </c>
      <c r="I19" s="1">
        <v>132</v>
      </c>
      <c r="J19" s="1">
        <v>89.000000000000043</v>
      </c>
      <c r="K19" s="1">
        <v>216.99999999999994</v>
      </c>
      <c r="L19" s="1">
        <v>3542.9999999999991</v>
      </c>
      <c r="M19" s="1">
        <v>4019.9999999999991</v>
      </c>
      <c r="N19" s="1">
        <v>432.99999999999994</v>
      </c>
      <c r="O19" s="1">
        <v>516.99999999999989</v>
      </c>
      <c r="P19" s="1">
        <v>239.00000000000003</v>
      </c>
      <c r="Q19" s="1">
        <v>1930.0000000000002</v>
      </c>
      <c r="R19" s="1">
        <v>11106.000000000002</v>
      </c>
      <c r="S19" s="1">
        <v>3626.9999999999982</v>
      </c>
      <c r="T19" s="19">
        <v>347.00000000000006</v>
      </c>
      <c r="U19" s="19">
        <v>52.000000000000014</v>
      </c>
      <c r="V19" s="1">
        <v>18163.000000000004</v>
      </c>
      <c r="W19" s="3">
        <v>36.057014670557628</v>
      </c>
      <c r="X19" s="39"/>
      <c r="Y19" s="1"/>
    </row>
    <row r="20" spans="1:26" x14ac:dyDescent="0.25">
      <c r="A20" s="2" t="s">
        <v>334</v>
      </c>
      <c r="B20" s="1">
        <v>92</v>
      </c>
      <c r="C20" s="1">
        <v>53496</v>
      </c>
      <c r="D20" s="1">
        <f t="shared" si="3"/>
        <v>38700</v>
      </c>
      <c r="E20" s="3">
        <f t="shared" si="4"/>
        <v>72.341857335127855</v>
      </c>
      <c r="F20" s="1">
        <f t="shared" si="2"/>
        <v>38432</v>
      </c>
      <c r="G20" s="1">
        <v>124.00000000000009</v>
      </c>
      <c r="H20" s="1">
        <v>10608</v>
      </c>
      <c r="I20" s="1">
        <v>180.99999999999997</v>
      </c>
      <c r="J20" s="1">
        <v>80.000000000000014</v>
      </c>
      <c r="K20" s="1">
        <v>305.99999999999994</v>
      </c>
      <c r="L20" s="1">
        <v>3209.0000000000005</v>
      </c>
      <c r="M20" s="1">
        <v>6062.9999999999991</v>
      </c>
      <c r="N20" s="1">
        <v>417</v>
      </c>
      <c r="O20" s="1">
        <v>316.99999999999994</v>
      </c>
      <c r="P20" s="1">
        <v>218.00000000000003</v>
      </c>
      <c r="Q20" s="1">
        <v>2033.0000000000002</v>
      </c>
      <c r="R20" s="1">
        <v>9269.9999999999982</v>
      </c>
      <c r="S20" s="1">
        <v>5606.0000000000009</v>
      </c>
      <c r="T20" s="19">
        <v>230.00000000000009</v>
      </c>
      <c r="U20" s="19">
        <v>38.000000000000007</v>
      </c>
      <c r="V20" s="1">
        <v>14796</v>
      </c>
      <c r="W20" s="3">
        <v>27.658142664872138</v>
      </c>
      <c r="X20" s="39"/>
      <c r="Y20" s="1"/>
    </row>
    <row r="21" spans="1:26" x14ac:dyDescent="0.25">
      <c r="A21" s="18" t="s">
        <v>335</v>
      </c>
      <c r="B21" s="1">
        <v>43</v>
      </c>
      <c r="C21" s="1">
        <v>16608.000000000004</v>
      </c>
      <c r="D21" s="1">
        <f t="shared" si="3"/>
        <v>10980.999999999998</v>
      </c>
      <c r="E21" s="3">
        <f t="shared" si="4"/>
        <v>66.118737957610762</v>
      </c>
      <c r="F21" s="1">
        <f t="shared" si="2"/>
        <v>10859.999999999998</v>
      </c>
      <c r="G21" s="1">
        <v>33.999999999999986</v>
      </c>
      <c r="H21" s="1">
        <v>2933.9999999999991</v>
      </c>
      <c r="I21" s="1">
        <v>33.000000000000007</v>
      </c>
      <c r="J21" s="1">
        <v>14.999999999999998</v>
      </c>
      <c r="K21" s="1">
        <v>81.999999999999986</v>
      </c>
      <c r="L21" s="1">
        <v>1207</v>
      </c>
      <c r="M21" s="1">
        <v>2477.9999999999995</v>
      </c>
      <c r="N21" s="1">
        <v>67.999999999999972</v>
      </c>
      <c r="O21" s="1">
        <v>53.999999999999979</v>
      </c>
      <c r="P21" s="1">
        <v>72.000000000000014</v>
      </c>
      <c r="Q21" s="1">
        <v>638.99999999999989</v>
      </c>
      <c r="R21" s="1">
        <v>1547.0000000000002</v>
      </c>
      <c r="S21" s="1">
        <v>1697</v>
      </c>
      <c r="T21" s="19">
        <v>101.99999999999999</v>
      </c>
      <c r="U21" s="19">
        <v>19.000000000000004</v>
      </c>
      <c r="V21" s="1">
        <v>5627</v>
      </c>
      <c r="W21" s="3">
        <v>33.881262042389203</v>
      </c>
      <c r="X21" s="39"/>
      <c r="Y21" s="1"/>
    </row>
    <row r="22" spans="1:26" x14ac:dyDescent="0.25">
      <c r="A22" s="18" t="s">
        <v>336</v>
      </c>
      <c r="B22" s="1">
        <v>96</v>
      </c>
      <c r="C22" s="1">
        <v>55965.000000000022</v>
      </c>
      <c r="D22" s="1">
        <f t="shared" si="3"/>
        <v>39008.999999999993</v>
      </c>
      <c r="E22" s="3">
        <f t="shared" si="4"/>
        <v>69.702492629321853</v>
      </c>
      <c r="F22" s="1">
        <f t="shared" si="2"/>
        <v>38739.999999999993</v>
      </c>
      <c r="G22" s="1">
        <v>93.999999999999972</v>
      </c>
      <c r="H22" s="1">
        <v>9851.9999999999964</v>
      </c>
      <c r="I22" s="1">
        <v>172</v>
      </c>
      <c r="J22" s="1">
        <v>68.000000000000028</v>
      </c>
      <c r="K22" s="1">
        <v>272</v>
      </c>
      <c r="L22" s="1">
        <v>3556.0000000000005</v>
      </c>
      <c r="M22" s="1">
        <v>6861.9999999999991</v>
      </c>
      <c r="N22" s="1">
        <v>393.00000000000017</v>
      </c>
      <c r="O22" s="1">
        <v>343.00000000000006</v>
      </c>
      <c r="P22" s="1">
        <v>162.99999999999991</v>
      </c>
      <c r="Q22" s="1">
        <v>1336.0000000000005</v>
      </c>
      <c r="R22" s="1">
        <v>8608.9999999999982</v>
      </c>
      <c r="S22" s="1">
        <v>7020.0000000000018</v>
      </c>
      <c r="T22" s="19">
        <v>228.00000000000017</v>
      </c>
      <c r="U22" s="19">
        <v>41</v>
      </c>
      <c r="V22" s="1">
        <v>16956.000000000007</v>
      </c>
      <c r="W22" s="3">
        <v>30.297507370678105</v>
      </c>
      <c r="X22" s="39"/>
      <c r="Y22" s="1"/>
    </row>
    <row r="23" spans="1:26" x14ac:dyDescent="0.25">
      <c r="A23" s="18" t="s">
        <v>337</v>
      </c>
      <c r="B23" s="1">
        <v>77</v>
      </c>
      <c r="C23" s="1">
        <v>44209.000000000007</v>
      </c>
      <c r="D23" s="1">
        <f t="shared" si="3"/>
        <v>32439.000000000007</v>
      </c>
      <c r="E23" s="3">
        <f t="shared" si="4"/>
        <v>73.376461806419513</v>
      </c>
      <c r="F23" s="1">
        <f t="shared" si="2"/>
        <v>32247.000000000007</v>
      </c>
      <c r="G23" s="1">
        <v>78.999999999999986</v>
      </c>
      <c r="H23" s="1">
        <v>9120.0000000000036</v>
      </c>
      <c r="I23" s="1">
        <v>119.00000000000004</v>
      </c>
      <c r="J23" s="1">
        <v>53</v>
      </c>
      <c r="K23" s="1">
        <v>280</v>
      </c>
      <c r="L23" s="1">
        <v>2707.9999999999995</v>
      </c>
      <c r="M23" s="1">
        <v>5379</v>
      </c>
      <c r="N23" s="1">
        <v>299.00000000000011</v>
      </c>
      <c r="O23" s="1">
        <v>310.99999999999983</v>
      </c>
      <c r="P23" s="1">
        <v>154.00000000000003</v>
      </c>
      <c r="Q23" s="1">
        <v>1000.0000000000001</v>
      </c>
      <c r="R23" s="1">
        <v>6242.0000000000018</v>
      </c>
      <c r="S23" s="1">
        <v>6502.9999999999991</v>
      </c>
      <c r="T23" s="19">
        <v>166.00000000000009</v>
      </c>
      <c r="U23" s="19">
        <v>26.000000000000014</v>
      </c>
      <c r="V23" s="1">
        <v>11770.000000000002</v>
      </c>
      <c r="W23" s="3">
        <v>26.623538193580494</v>
      </c>
      <c r="X23" s="39"/>
      <c r="Y23" s="1"/>
    </row>
    <row r="24" spans="1:26" x14ac:dyDescent="0.25">
      <c r="A24" s="18" t="s">
        <v>338</v>
      </c>
      <c r="B24" s="1">
        <v>74</v>
      </c>
      <c r="C24" s="1">
        <v>42390.999999999993</v>
      </c>
      <c r="D24" s="1">
        <f t="shared" si="3"/>
        <v>31246</v>
      </c>
      <c r="E24" s="3">
        <f t="shared" si="4"/>
        <v>73.709042013634985</v>
      </c>
      <c r="F24" s="1">
        <f t="shared" si="2"/>
        <v>31063</v>
      </c>
      <c r="G24" s="1">
        <v>53.000000000000007</v>
      </c>
      <c r="H24" s="1">
        <v>10987.000000000002</v>
      </c>
      <c r="I24" s="1">
        <v>102.00000000000001</v>
      </c>
      <c r="J24" s="1">
        <v>70</v>
      </c>
      <c r="K24" s="1">
        <v>361.99999999999989</v>
      </c>
      <c r="L24" s="1">
        <v>2248.9999999999995</v>
      </c>
      <c r="M24" s="1">
        <v>5322.9999999999982</v>
      </c>
      <c r="N24" s="1">
        <v>265</v>
      </c>
      <c r="O24" s="1">
        <v>288.00000000000006</v>
      </c>
      <c r="P24" s="1">
        <v>133.00000000000003</v>
      </c>
      <c r="Q24" s="1">
        <v>772.99999999999989</v>
      </c>
      <c r="R24" s="1">
        <v>3731.9999999999991</v>
      </c>
      <c r="S24" s="1">
        <v>6725.9999999999982</v>
      </c>
      <c r="T24" s="19">
        <v>151.00000000000003</v>
      </c>
      <c r="U24" s="19">
        <v>32</v>
      </c>
      <c r="V24" s="1">
        <v>11145</v>
      </c>
      <c r="W24" s="3">
        <v>26.290957986365033</v>
      </c>
      <c r="X24" s="39"/>
      <c r="Y24" s="1"/>
    </row>
    <row r="25" spans="1:26" x14ac:dyDescent="0.25">
      <c r="A25" s="18" t="s">
        <v>339</v>
      </c>
      <c r="B25" s="1">
        <v>16</v>
      </c>
      <c r="C25" s="1">
        <v>4593</v>
      </c>
      <c r="D25" s="1">
        <f t="shared" si="3"/>
        <v>2924</v>
      </c>
      <c r="E25" s="3">
        <f t="shared" si="4"/>
        <v>63.66209449161768</v>
      </c>
      <c r="F25" s="1">
        <f t="shared" si="2"/>
        <v>2902</v>
      </c>
      <c r="G25" s="1">
        <v>7</v>
      </c>
      <c r="H25" s="1">
        <v>378</v>
      </c>
      <c r="I25" s="1">
        <v>2.0000000000000004</v>
      </c>
      <c r="J25" s="1">
        <v>7.0000000000000018</v>
      </c>
      <c r="K25" s="1">
        <v>6.0000000000000009</v>
      </c>
      <c r="L25" s="1">
        <v>207</v>
      </c>
      <c r="M25" s="1">
        <v>1148</v>
      </c>
      <c r="N25" s="1">
        <v>22</v>
      </c>
      <c r="O25" s="1">
        <v>5</v>
      </c>
      <c r="P25" s="1">
        <v>8</v>
      </c>
      <c r="Q25" s="1">
        <v>132.99999999999997</v>
      </c>
      <c r="R25" s="1">
        <v>366.99999999999994</v>
      </c>
      <c r="S25" s="1">
        <v>612</v>
      </c>
      <c r="T25" s="19">
        <v>15.000000000000004</v>
      </c>
      <c r="U25" s="19">
        <v>7</v>
      </c>
      <c r="V25" s="1">
        <v>1669</v>
      </c>
      <c r="W25" s="3">
        <v>36.33790550838232</v>
      </c>
      <c r="X25" s="39"/>
      <c r="Y25" s="1"/>
    </row>
    <row r="26" spans="1:26" x14ac:dyDescent="0.25">
      <c r="A26" s="18" t="s">
        <v>340</v>
      </c>
      <c r="B26" s="1">
        <v>14</v>
      </c>
      <c r="C26" s="1">
        <v>5565.9999999999991</v>
      </c>
      <c r="D26" s="1">
        <f t="shared" si="3"/>
        <v>3686</v>
      </c>
      <c r="E26" s="3">
        <f t="shared" si="4"/>
        <v>66.223499820337778</v>
      </c>
      <c r="F26" s="1">
        <f t="shared" si="2"/>
        <v>3637</v>
      </c>
      <c r="G26" s="1">
        <v>17</v>
      </c>
      <c r="H26" s="1">
        <v>1243</v>
      </c>
      <c r="I26" s="1">
        <v>8.0000000000000018</v>
      </c>
      <c r="J26" s="1">
        <v>10</v>
      </c>
      <c r="K26" s="1">
        <v>41</v>
      </c>
      <c r="L26" s="1">
        <v>299</v>
      </c>
      <c r="M26" s="1">
        <v>764.00000000000011</v>
      </c>
      <c r="N26" s="1">
        <v>18</v>
      </c>
      <c r="O26" s="1">
        <v>31</v>
      </c>
      <c r="P26" s="1">
        <v>24</v>
      </c>
      <c r="Q26" s="1">
        <v>217.00000000000003</v>
      </c>
      <c r="R26" s="1">
        <v>400</v>
      </c>
      <c r="S26" s="1">
        <v>565</v>
      </c>
      <c r="T26" s="19">
        <v>41</v>
      </c>
      <c r="U26" s="19">
        <v>8</v>
      </c>
      <c r="V26" s="1">
        <v>1880</v>
      </c>
      <c r="W26" s="3">
        <v>33.776500179662236</v>
      </c>
      <c r="X26" s="39"/>
      <c r="Y26" s="1"/>
    </row>
    <row r="27" spans="1:26" x14ac:dyDescent="0.25">
      <c r="A27" s="18" t="s">
        <v>341</v>
      </c>
      <c r="B27" s="1">
        <v>86</v>
      </c>
      <c r="C27" s="1">
        <v>48858.999999999985</v>
      </c>
      <c r="D27" s="1">
        <f t="shared" si="3"/>
        <v>35032.000000000007</v>
      </c>
      <c r="E27" s="3">
        <f t="shared" si="4"/>
        <v>71.700198530465258</v>
      </c>
      <c r="F27" s="1">
        <f t="shared" si="2"/>
        <v>34832.000000000007</v>
      </c>
      <c r="G27" s="1">
        <v>99.999999999999986</v>
      </c>
      <c r="H27" s="1">
        <v>9016</v>
      </c>
      <c r="I27" s="1">
        <v>127.99999999999996</v>
      </c>
      <c r="J27" s="1">
        <v>62.000000000000021</v>
      </c>
      <c r="K27" s="1">
        <v>294.00000000000006</v>
      </c>
      <c r="L27" s="1">
        <v>2598</v>
      </c>
      <c r="M27" s="1">
        <v>6728.0000000000027</v>
      </c>
      <c r="N27" s="1">
        <v>351</v>
      </c>
      <c r="O27" s="1">
        <v>277</v>
      </c>
      <c r="P27" s="1">
        <v>122</v>
      </c>
      <c r="Q27" s="1">
        <v>1074.0000000000002</v>
      </c>
      <c r="R27" s="1">
        <v>6153.0000000000018</v>
      </c>
      <c r="S27" s="1">
        <v>7929.0000000000018</v>
      </c>
      <c r="T27" s="19">
        <v>174.00000000000003</v>
      </c>
      <c r="U27" s="19">
        <v>26.000000000000004</v>
      </c>
      <c r="V27" s="1">
        <v>13827</v>
      </c>
      <c r="W27" s="3">
        <v>28.299801469534792</v>
      </c>
      <c r="X27" s="39"/>
      <c r="Y27" s="1"/>
    </row>
    <row r="28" spans="1:26" x14ac:dyDescent="0.25">
      <c r="A28" s="18" t="s">
        <v>342</v>
      </c>
      <c r="B28" s="1">
        <v>251</v>
      </c>
      <c r="C28" s="1">
        <v>111779</v>
      </c>
      <c r="D28" s="1">
        <f t="shared" si="3"/>
        <v>72611.999999999985</v>
      </c>
      <c r="E28" s="3">
        <f t="shared" si="4"/>
        <v>64.960323495468714</v>
      </c>
      <c r="F28" s="1">
        <f t="shared" si="2"/>
        <v>71551.999999999985</v>
      </c>
      <c r="G28" s="1">
        <v>320</v>
      </c>
      <c r="H28" s="1">
        <v>11554.000000000013</v>
      </c>
      <c r="I28" s="1">
        <v>209.00000000000009</v>
      </c>
      <c r="J28" s="1">
        <v>153.00000000000006</v>
      </c>
      <c r="K28" s="1">
        <v>561.99999999999989</v>
      </c>
      <c r="L28" s="1">
        <v>5913.9999999999973</v>
      </c>
      <c r="M28" s="1">
        <v>11293.999999999996</v>
      </c>
      <c r="N28" s="1">
        <v>582.99999999999966</v>
      </c>
      <c r="O28" s="1">
        <v>431.00000000000011</v>
      </c>
      <c r="P28" s="1">
        <v>447.99999999999994</v>
      </c>
      <c r="Q28" s="1">
        <v>3770.9999999999995</v>
      </c>
      <c r="R28" s="1">
        <v>20443.999999999978</v>
      </c>
      <c r="S28" s="1">
        <v>15868.999999999996</v>
      </c>
      <c r="T28" s="19">
        <v>824.99999999999977</v>
      </c>
      <c r="U28" s="19">
        <v>235.00000000000006</v>
      </c>
      <c r="V28" s="1">
        <v>39126</v>
      </c>
      <c r="W28" s="3">
        <v>35.039676504531251</v>
      </c>
      <c r="X28" s="39"/>
      <c r="Y28" s="1"/>
    </row>
    <row r="29" spans="1:26" x14ac:dyDescent="0.25">
      <c r="A29" s="18" t="s">
        <v>343</v>
      </c>
      <c r="B29" s="1">
        <v>26</v>
      </c>
      <c r="C29" s="1">
        <v>9209.9999999999982</v>
      </c>
      <c r="D29" s="1">
        <f t="shared" si="3"/>
        <v>5914</v>
      </c>
      <c r="E29" s="3">
        <f t="shared" si="4"/>
        <v>64.212812160694909</v>
      </c>
      <c r="F29" s="1">
        <f t="shared" si="2"/>
        <v>5825</v>
      </c>
      <c r="G29" s="1">
        <v>20</v>
      </c>
      <c r="H29" s="1">
        <v>1479.0000000000002</v>
      </c>
      <c r="I29" s="1">
        <v>16</v>
      </c>
      <c r="J29" s="1">
        <v>12</v>
      </c>
      <c r="K29" s="1">
        <v>51</v>
      </c>
      <c r="L29" s="1">
        <v>429</v>
      </c>
      <c r="M29" s="1">
        <v>1344</v>
      </c>
      <c r="N29" s="1">
        <v>62</v>
      </c>
      <c r="O29" s="1">
        <v>39</v>
      </c>
      <c r="P29" s="1">
        <v>59</v>
      </c>
      <c r="Q29" s="1">
        <v>473.00000000000011</v>
      </c>
      <c r="R29" s="1">
        <v>724.99999999999989</v>
      </c>
      <c r="S29" s="1">
        <v>1116</v>
      </c>
      <c r="T29" s="19">
        <v>62</v>
      </c>
      <c r="U29" s="19">
        <v>27.000000000000007</v>
      </c>
      <c r="V29" s="1">
        <v>3295.9999999999995</v>
      </c>
      <c r="W29" s="3">
        <v>35.787187839305105</v>
      </c>
      <c r="X29" s="39"/>
      <c r="Y29" s="1"/>
    </row>
    <row r="30" spans="1:26" ht="24.9" customHeight="1" x14ac:dyDescent="0.25">
      <c r="A30" s="38" t="s">
        <v>344</v>
      </c>
      <c r="B30" s="17">
        <f>SUM(B31:B45)</f>
        <v>1266</v>
      </c>
      <c r="C30" s="17">
        <f>SUM(C31:C45)</f>
        <v>630989.99999999988</v>
      </c>
      <c r="D30" s="17">
        <f>SUM(D31:D45)</f>
        <v>428247.00000000006</v>
      </c>
      <c r="E30" s="15">
        <f t="shared" si="4"/>
        <v>67.86906290115536</v>
      </c>
      <c r="F30" s="17">
        <f t="shared" ref="F30:V30" si="5">SUM(F31:F45)</f>
        <v>423114.00000000006</v>
      </c>
      <c r="G30" s="17">
        <f t="shared" si="5"/>
        <v>1381.0000000000002</v>
      </c>
      <c r="H30" s="17">
        <f t="shared" si="5"/>
        <v>92385.000000000015</v>
      </c>
      <c r="I30" s="17">
        <f t="shared" si="5"/>
        <v>1313.0000000000002</v>
      </c>
      <c r="J30" s="17">
        <f t="shared" si="5"/>
        <v>888.00000000000023</v>
      </c>
      <c r="K30" s="17">
        <f t="shared" si="5"/>
        <v>3176.9999999999991</v>
      </c>
      <c r="L30" s="17">
        <f t="shared" si="5"/>
        <v>37462</v>
      </c>
      <c r="M30" s="17">
        <f t="shared" si="5"/>
        <v>76848.000000000029</v>
      </c>
      <c r="N30" s="17">
        <f t="shared" si="5"/>
        <v>3846.9999999999991</v>
      </c>
      <c r="O30" s="17">
        <f t="shared" si="5"/>
        <v>3038.9999999999991</v>
      </c>
      <c r="P30" s="17">
        <f t="shared" si="5"/>
        <v>2058.0000000000009</v>
      </c>
      <c r="Q30" s="17">
        <f t="shared" si="5"/>
        <v>23022.999999999996</v>
      </c>
      <c r="R30" s="17">
        <f t="shared" si="5"/>
        <v>113234</v>
      </c>
      <c r="S30" s="17">
        <f t="shared" si="5"/>
        <v>64459.000000000015</v>
      </c>
      <c r="T30" s="17">
        <f t="shared" si="5"/>
        <v>4243.9999999999991</v>
      </c>
      <c r="U30" s="17">
        <f t="shared" si="5"/>
        <v>889</v>
      </c>
      <c r="V30" s="17">
        <f t="shared" si="5"/>
        <v>202743</v>
      </c>
      <c r="W30" s="15">
        <v>32.130937098844683</v>
      </c>
      <c r="X30" s="39"/>
      <c r="Z30" s="17"/>
    </row>
    <row r="31" spans="1:26" x14ac:dyDescent="0.25">
      <c r="A31" s="18" t="s">
        <v>292</v>
      </c>
      <c r="B31" s="1">
        <v>371</v>
      </c>
      <c r="C31" s="1">
        <v>201479.99999999991</v>
      </c>
      <c r="D31" s="1">
        <f t="shared" ref="D31:D45" si="6">F31+U31+T31</f>
        <v>135288.00000000006</v>
      </c>
      <c r="E31" s="3">
        <f t="shared" si="4"/>
        <v>67.147111375819009</v>
      </c>
      <c r="F31" s="1">
        <f t="shared" ref="F31:F45" si="7">SUM(G31:S31)</f>
        <v>133977.00000000006</v>
      </c>
      <c r="G31" s="1">
        <v>450.00000000000045</v>
      </c>
      <c r="H31" s="1">
        <v>29960.000000000018</v>
      </c>
      <c r="I31" s="1">
        <v>419.99999999999989</v>
      </c>
      <c r="J31" s="1">
        <v>259.00000000000017</v>
      </c>
      <c r="K31" s="1">
        <v>782.99999999999932</v>
      </c>
      <c r="L31" s="1">
        <v>11788.000000000004</v>
      </c>
      <c r="M31" s="1">
        <v>23677.000000000018</v>
      </c>
      <c r="N31" s="1">
        <v>1337.9999999999991</v>
      </c>
      <c r="O31" s="1">
        <v>1069.9999999999989</v>
      </c>
      <c r="P31" s="1">
        <v>641.00000000000045</v>
      </c>
      <c r="Q31" s="1">
        <v>6897.9999999999973</v>
      </c>
      <c r="R31" s="1">
        <v>36581</v>
      </c>
      <c r="S31" s="1">
        <v>20112.000000000007</v>
      </c>
      <c r="T31" s="1">
        <v>1115.9999999999995</v>
      </c>
      <c r="U31" s="19">
        <v>195.00000000000003</v>
      </c>
      <c r="V31" s="1">
        <v>66192.000000000015</v>
      </c>
      <c r="W31" s="3">
        <v>32.852888624181084</v>
      </c>
      <c r="X31" s="39"/>
      <c r="Z31" s="1"/>
    </row>
    <row r="32" spans="1:26" x14ac:dyDescent="0.25">
      <c r="A32" s="18" t="s">
        <v>345</v>
      </c>
      <c r="B32" s="1">
        <v>130</v>
      </c>
      <c r="C32" s="1">
        <v>63586</v>
      </c>
      <c r="D32" s="1">
        <f t="shared" si="6"/>
        <v>44369.000000000007</v>
      </c>
      <c r="E32" s="3">
        <f t="shared" si="4"/>
        <v>69.77793853993019</v>
      </c>
      <c r="F32" s="1">
        <f t="shared" si="7"/>
        <v>43804.000000000007</v>
      </c>
      <c r="G32" s="1">
        <v>138.99999999999991</v>
      </c>
      <c r="H32" s="1">
        <v>14033.000000000002</v>
      </c>
      <c r="I32" s="1">
        <v>131.00000000000006</v>
      </c>
      <c r="J32" s="1">
        <v>107.00000000000006</v>
      </c>
      <c r="K32" s="1">
        <v>440.00000000000006</v>
      </c>
      <c r="L32" s="1">
        <v>4533.9999999999991</v>
      </c>
      <c r="M32" s="1">
        <v>6922.0000000000018</v>
      </c>
      <c r="N32" s="1">
        <v>445</v>
      </c>
      <c r="O32" s="1">
        <v>464</v>
      </c>
      <c r="P32" s="1">
        <v>228.00000000000011</v>
      </c>
      <c r="Q32" s="1">
        <v>2588.9999999999986</v>
      </c>
      <c r="R32" s="1">
        <v>9310.0000000000073</v>
      </c>
      <c r="S32" s="1">
        <v>4462</v>
      </c>
      <c r="T32" s="1">
        <v>442.00000000000011</v>
      </c>
      <c r="U32" s="19">
        <v>122.99999999999997</v>
      </c>
      <c r="V32" s="1">
        <v>19216.999999999989</v>
      </c>
      <c r="W32" s="3">
        <v>30.22206146006981</v>
      </c>
      <c r="X32" s="39"/>
      <c r="Z32" s="1"/>
    </row>
    <row r="33" spans="1:26" x14ac:dyDescent="0.25">
      <c r="A33" s="18" t="s">
        <v>346</v>
      </c>
      <c r="B33" s="1">
        <v>120</v>
      </c>
      <c r="C33" s="1">
        <v>59285</v>
      </c>
      <c r="D33" s="1">
        <f t="shared" si="6"/>
        <v>42337</v>
      </c>
      <c r="E33" s="3">
        <f t="shared" si="4"/>
        <v>71.412667622501473</v>
      </c>
      <c r="F33" s="1">
        <f t="shared" si="7"/>
        <v>41907</v>
      </c>
      <c r="G33" s="1">
        <v>124.99999999999999</v>
      </c>
      <c r="H33" s="1">
        <v>9327.9999999999945</v>
      </c>
      <c r="I33" s="1">
        <v>141</v>
      </c>
      <c r="J33" s="1">
        <v>84.999999999999986</v>
      </c>
      <c r="K33" s="1">
        <v>341</v>
      </c>
      <c r="L33" s="1">
        <v>3325.0000000000009</v>
      </c>
      <c r="M33" s="1">
        <v>7314.0000000000009</v>
      </c>
      <c r="N33" s="1">
        <v>254.99999999999994</v>
      </c>
      <c r="O33" s="1">
        <v>283.00000000000011</v>
      </c>
      <c r="P33" s="1">
        <v>202</v>
      </c>
      <c r="Q33" s="1">
        <v>2983.9999999999986</v>
      </c>
      <c r="R33" s="1">
        <v>10834</v>
      </c>
      <c r="S33" s="1">
        <v>6690.0000000000036</v>
      </c>
      <c r="T33" s="1">
        <v>355</v>
      </c>
      <c r="U33" s="19">
        <v>75</v>
      </c>
      <c r="V33" s="1">
        <v>16948.000000000007</v>
      </c>
      <c r="W33" s="3">
        <v>28.587332377498537</v>
      </c>
      <c r="X33" s="39"/>
      <c r="Z33" s="1"/>
    </row>
    <row r="34" spans="1:26" x14ac:dyDescent="0.25">
      <c r="A34" s="18" t="s">
        <v>347</v>
      </c>
      <c r="B34" s="1">
        <v>12</v>
      </c>
      <c r="C34" s="1">
        <v>4602.0000000000009</v>
      </c>
      <c r="D34" s="1">
        <f t="shared" si="6"/>
        <v>2993</v>
      </c>
      <c r="E34" s="3">
        <f t="shared" si="4"/>
        <v>65.036940460669257</v>
      </c>
      <c r="F34" s="1">
        <f t="shared" si="7"/>
        <v>2956</v>
      </c>
      <c r="G34" s="1">
        <v>8</v>
      </c>
      <c r="H34" s="1">
        <v>470</v>
      </c>
      <c r="I34" s="1">
        <v>4</v>
      </c>
      <c r="J34" s="1">
        <v>5</v>
      </c>
      <c r="K34" s="1">
        <v>19</v>
      </c>
      <c r="L34" s="1">
        <v>255</v>
      </c>
      <c r="M34" s="1">
        <v>860</v>
      </c>
      <c r="N34" s="1">
        <v>38.999999999999993</v>
      </c>
      <c r="O34" s="1">
        <v>10</v>
      </c>
      <c r="P34" s="1">
        <v>9</v>
      </c>
      <c r="Q34" s="1">
        <v>250.00000000000003</v>
      </c>
      <c r="R34" s="1">
        <v>471</v>
      </c>
      <c r="S34" s="1">
        <v>556</v>
      </c>
      <c r="T34" s="1">
        <v>30.000000000000007</v>
      </c>
      <c r="U34" s="19">
        <v>7</v>
      </c>
      <c r="V34" s="1">
        <v>1609</v>
      </c>
      <c r="W34" s="3">
        <v>34.963059539330722</v>
      </c>
      <c r="X34" s="39"/>
      <c r="Z34" s="1"/>
    </row>
    <row r="35" spans="1:26" x14ac:dyDescent="0.25">
      <c r="A35" s="18" t="s">
        <v>348</v>
      </c>
      <c r="B35" s="1">
        <v>40</v>
      </c>
      <c r="C35" s="1">
        <v>20429</v>
      </c>
      <c r="D35" s="1">
        <f t="shared" si="6"/>
        <v>14706</v>
      </c>
      <c r="E35" s="3">
        <f t="shared" si="4"/>
        <v>71.985902393656076</v>
      </c>
      <c r="F35" s="1">
        <f t="shared" si="7"/>
        <v>14565</v>
      </c>
      <c r="G35" s="1">
        <v>46.000000000000007</v>
      </c>
      <c r="H35" s="1">
        <v>4028</v>
      </c>
      <c r="I35" s="1">
        <v>45.999999999999986</v>
      </c>
      <c r="J35" s="1">
        <v>25.999999999999996</v>
      </c>
      <c r="K35" s="1">
        <v>95.000000000000014</v>
      </c>
      <c r="L35" s="1">
        <v>1196</v>
      </c>
      <c r="M35" s="1">
        <v>2465.9999999999995</v>
      </c>
      <c r="N35" s="1">
        <v>117.00000000000001</v>
      </c>
      <c r="O35" s="1">
        <v>87</v>
      </c>
      <c r="P35" s="1">
        <v>66.000000000000028</v>
      </c>
      <c r="Q35" s="1">
        <v>683.99999999999989</v>
      </c>
      <c r="R35" s="1">
        <v>2772</v>
      </c>
      <c r="S35" s="1">
        <v>2936.0000000000009</v>
      </c>
      <c r="T35" s="1">
        <v>122</v>
      </c>
      <c r="U35" s="19">
        <v>18.999999999999996</v>
      </c>
      <c r="V35" s="1">
        <v>5723</v>
      </c>
      <c r="W35" s="3">
        <v>28.014097606343924</v>
      </c>
      <c r="X35" s="39"/>
      <c r="Z35" s="1"/>
    </row>
    <row r="36" spans="1:26" x14ac:dyDescent="0.25">
      <c r="A36" s="18" t="s">
        <v>349</v>
      </c>
      <c r="B36" s="1">
        <v>63</v>
      </c>
      <c r="C36" s="1">
        <v>31781.999999999996</v>
      </c>
      <c r="D36" s="1">
        <f t="shared" si="6"/>
        <v>22205.999999999996</v>
      </c>
      <c r="E36" s="3">
        <f t="shared" si="4"/>
        <v>69.86973758731358</v>
      </c>
      <c r="F36" s="1">
        <f t="shared" si="7"/>
        <v>21929.999999999996</v>
      </c>
      <c r="G36" s="1">
        <v>52.000000000000007</v>
      </c>
      <c r="H36" s="1">
        <v>5524.9999999999982</v>
      </c>
      <c r="I36" s="1">
        <v>72.000000000000014</v>
      </c>
      <c r="J36" s="1">
        <v>50.000000000000014</v>
      </c>
      <c r="K36" s="1">
        <v>103.00000000000001</v>
      </c>
      <c r="L36" s="1">
        <v>1831.0000000000002</v>
      </c>
      <c r="M36" s="1">
        <v>3912.9999999999991</v>
      </c>
      <c r="N36" s="1">
        <v>138.99999999999991</v>
      </c>
      <c r="O36" s="1">
        <v>162</v>
      </c>
      <c r="P36" s="1">
        <v>118.00000000000004</v>
      </c>
      <c r="Q36" s="1">
        <v>1512.9999999999998</v>
      </c>
      <c r="R36" s="1">
        <v>4572</v>
      </c>
      <c r="S36" s="1">
        <v>3880.0000000000005</v>
      </c>
      <c r="T36" s="1">
        <v>228.00000000000006</v>
      </c>
      <c r="U36" s="19">
        <v>48.000000000000007</v>
      </c>
      <c r="V36" s="1">
        <v>9575.9999999999982</v>
      </c>
      <c r="W36" s="3">
        <v>30.130262412686427</v>
      </c>
      <c r="X36" s="39"/>
      <c r="Z36" s="1"/>
    </row>
    <row r="37" spans="1:26" x14ac:dyDescent="0.25">
      <c r="A37" s="18" t="s">
        <v>350</v>
      </c>
      <c r="B37" s="1">
        <v>53</v>
      </c>
      <c r="C37" s="1">
        <v>28972.999999999989</v>
      </c>
      <c r="D37" s="1">
        <f t="shared" si="6"/>
        <v>21169.999999999996</v>
      </c>
      <c r="E37" s="3">
        <f t="shared" si="4"/>
        <v>73.068028854450702</v>
      </c>
      <c r="F37" s="1">
        <f t="shared" si="7"/>
        <v>20943.999999999996</v>
      </c>
      <c r="G37" s="1">
        <v>44.999999999999993</v>
      </c>
      <c r="H37" s="1">
        <v>5861.9999999999991</v>
      </c>
      <c r="I37" s="1">
        <v>38.999999999999993</v>
      </c>
      <c r="J37" s="1">
        <v>56.999999999999986</v>
      </c>
      <c r="K37" s="1">
        <v>171.00000000000003</v>
      </c>
      <c r="L37" s="1">
        <v>1957.9999999999991</v>
      </c>
      <c r="M37" s="1">
        <v>4263.9999999999991</v>
      </c>
      <c r="N37" s="1">
        <v>139</v>
      </c>
      <c r="O37" s="1">
        <v>158</v>
      </c>
      <c r="P37" s="1">
        <v>94</v>
      </c>
      <c r="Q37" s="1">
        <v>838.99999999999989</v>
      </c>
      <c r="R37" s="1">
        <v>3632.9999999999995</v>
      </c>
      <c r="S37" s="1">
        <v>3684.9999999999991</v>
      </c>
      <c r="T37" s="1">
        <v>196</v>
      </c>
      <c r="U37" s="19">
        <v>30</v>
      </c>
      <c r="V37" s="1">
        <v>7803.0000000000009</v>
      </c>
      <c r="W37" s="3">
        <v>26.931971145549316</v>
      </c>
      <c r="X37" s="39"/>
      <c r="Z37" s="1"/>
    </row>
    <row r="38" spans="1:26" x14ac:dyDescent="0.25">
      <c r="A38" s="18" t="s">
        <v>351</v>
      </c>
      <c r="B38" s="1">
        <v>41</v>
      </c>
      <c r="C38" s="1">
        <v>21821</v>
      </c>
      <c r="D38" s="1">
        <f t="shared" si="6"/>
        <v>15937</v>
      </c>
      <c r="E38" s="3">
        <f t="shared" si="4"/>
        <v>73.03514962650658</v>
      </c>
      <c r="F38" s="1">
        <f t="shared" si="7"/>
        <v>15781</v>
      </c>
      <c r="G38" s="1">
        <v>61</v>
      </c>
      <c r="H38" s="1">
        <v>3595.9999999999991</v>
      </c>
      <c r="I38" s="1">
        <v>49.000000000000007</v>
      </c>
      <c r="J38" s="1">
        <v>25.000000000000004</v>
      </c>
      <c r="K38" s="1">
        <v>85</v>
      </c>
      <c r="L38" s="1">
        <v>1173.9999999999998</v>
      </c>
      <c r="M38" s="1">
        <v>3272.0000000000005</v>
      </c>
      <c r="N38" s="1">
        <v>113.99999999999999</v>
      </c>
      <c r="O38" s="1">
        <v>89.000000000000028</v>
      </c>
      <c r="P38" s="1">
        <v>72.000000000000014</v>
      </c>
      <c r="Q38" s="1">
        <v>891.99999999999977</v>
      </c>
      <c r="R38" s="1">
        <v>3842.0000000000005</v>
      </c>
      <c r="S38" s="1">
        <v>2510.0000000000005</v>
      </c>
      <c r="T38" s="1">
        <v>126.00000000000001</v>
      </c>
      <c r="U38" s="19">
        <v>30.000000000000004</v>
      </c>
      <c r="V38" s="1">
        <v>5883.9999999999973</v>
      </c>
      <c r="W38" s="3">
        <v>26.964850373493409</v>
      </c>
      <c r="X38" s="39"/>
      <c r="Z38" s="1"/>
    </row>
    <row r="39" spans="1:26" x14ac:dyDescent="0.25">
      <c r="A39" s="18" t="s">
        <v>352</v>
      </c>
      <c r="B39" s="1">
        <v>31</v>
      </c>
      <c r="C39" s="1">
        <v>15593.999999999998</v>
      </c>
      <c r="D39" s="1">
        <f t="shared" si="6"/>
        <v>9402</v>
      </c>
      <c r="E39" s="3">
        <f t="shared" si="4"/>
        <v>60.292420161600624</v>
      </c>
      <c r="F39" s="1">
        <f t="shared" si="7"/>
        <v>9294</v>
      </c>
      <c r="G39" s="1">
        <v>18.999999999999996</v>
      </c>
      <c r="H39" s="1">
        <v>1319</v>
      </c>
      <c r="I39" s="1">
        <v>19.000000000000004</v>
      </c>
      <c r="J39" s="1">
        <v>15</v>
      </c>
      <c r="K39" s="1">
        <v>40.999999999999993</v>
      </c>
      <c r="L39" s="1">
        <v>799</v>
      </c>
      <c r="M39" s="1">
        <v>2316</v>
      </c>
      <c r="N39" s="1">
        <v>61.999999999999993</v>
      </c>
      <c r="O39" s="1">
        <v>51.999999999999993</v>
      </c>
      <c r="P39" s="1">
        <v>30</v>
      </c>
      <c r="Q39" s="1">
        <v>493.99999999999994</v>
      </c>
      <c r="R39" s="1">
        <v>2147</v>
      </c>
      <c r="S39" s="1">
        <v>1980.9999999999998</v>
      </c>
      <c r="T39" s="1">
        <v>89.999999999999986</v>
      </c>
      <c r="U39" s="19">
        <v>17.999999999999996</v>
      </c>
      <c r="V39" s="1">
        <v>6192</v>
      </c>
      <c r="W39" s="3">
        <v>39.70757983839939</v>
      </c>
      <c r="X39" s="39"/>
      <c r="Z39" s="1"/>
    </row>
    <row r="40" spans="1:26" x14ac:dyDescent="0.25">
      <c r="A40" s="18" t="s">
        <v>353</v>
      </c>
      <c r="B40" s="1">
        <v>228</v>
      </c>
      <c r="C40" s="1">
        <v>108240.00000000004</v>
      </c>
      <c r="D40" s="1">
        <f t="shared" si="6"/>
        <v>74106</v>
      </c>
      <c r="E40" s="3">
        <f t="shared" si="4"/>
        <v>68.464523281596428</v>
      </c>
      <c r="F40" s="1">
        <f t="shared" si="7"/>
        <v>73054</v>
      </c>
      <c r="G40" s="1">
        <v>280.99999999999989</v>
      </c>
      <c r="H40" s="1">
        <v>11928.000000000004</v>
      </c>
      <c r="I40" s="1">
        <v>246.0000000000002</v>
      </c>
      <c r="J40" s="1">
        <v>105</v>
      </c>
      <c r="K40" s="1">
        <v>717.99999999999989</v>
      </c>
      <c r="L40" s="1">
        <v>7028.9999999999991</v>
      </c>
      <c r="M40" s="1">
        <v>12431.000000000002</v>
      </c>
      <c r="N40" s="1">
        <v>694.99999999999989</v>
      </c>
      <c r="O40" s="1">
        <v>439.99999999999989</v>
      </c>
      <c r="P40" s="1">
        <v>362.00000000000017</v>
      </c>
      <c r="Q40" s="1">
        <v>3608.0000000000023</v>
      </c>
      <c r="R40" s="1">
        <v>24761.999999999996</v>
      </c>
      <c r="S40" s="1">
        <v>10449.000000000004</v>
      </c>
      <c r="T40" s="1">
        <v>872.99999999999955</v>
      </c>
      <c r="U40" s="19">
        <v>179.00000000000006</v>
      </c>
      <c r="V40" s="1">
        <v>34133.999999999985</v>
      </c>
      <c r="W40" s="3">
        <v>31.535476718403523</v>
      </c>
      <c r="X40" s="39"/>
      <c r="Z40" s="1"/>
    </row>
    <row r="41" spans="1:26" x14ac:dyDescent="0.25">
      <c r="A41" s="18" t="s">
        <v>354</v>
      </c>
      <c r="B41" s="1">
        <v>22</v>
      </c>
      <c r="C41" s="1">
        <v>9056.0000000000018</v>
      </c>
      <c r="D41" s="1">
        <f t="shared" si="6"/>
        <v>7183</v>
      </c>
      <c r="E41" s="3">
        <f t="shared" si="4"/>
        <v>79.317579505300344</v>
      </c>
      <c r="F41" s="1">
        <f t="shared" si="7"/>
        <v>7108</v>
      </c>
      <c r="G41" s="1">
        <v>12.000000000000002</v>
      </c>
      <c r="H41" s="1">
        <v>1618</v>
      </c>
      <c r="I41" s="1">
        <v>20</v>
      </c>
      <c r="J41" s="1">
        <v>21.000000000000007</v>
      </c>
      <c r="K41" s="1">
        <v>38.999999999999993</v>
      </c>
      <c r="L41" s="1">
        <v>390</v>
      </c>
      <c r="M41" s="1">
        <v>1918.9999999999998</v>
      </c>
      <c r="N41" s="1">
        <v>45.999999999999986</v>
      </c>
      <c r="O41" s="1">
        <v>45</v>
      </c>
      <c r="P41" s="1">
        <v>29.000000000000004</v>
      </c>
      <c r="Q41" s="1">
        <v>410</v>
      </c>
      <c r="R41" s="1">
        <v>899.00000000000011</v>
      </c>
      <c r="S41" s="1">
        <v>1660.0000000000002</v>
      </c>
      <c r="T41" s="1">
        <v>54</v>
      </c>
      <c r="U41" s="19">
        <v>20.999999999999996</v>
      </c>
      <c r="V41" s="1">
        <v>1873</v>
      </c>
      <c r="W41" s="3">
        <v>20.682420494699645</v>
      </c>
      <c r="X41" s="39"/>
      <c r="Z41" s="1"/>
    </row>
    <row r="42" spans="1:26" x14ac:dyDescent="0.25">
      <c r="A42" s="18" t="s">
        <v>355</v>
      </c>
      <c r="B42" s="1">
        <v>29</v>
      </c>
      <c r="C42" s="1">
        <v>14668.000000000002</v>
      </c>
      <c r="D42" s="1">
        <f t="shared" si="6"/>
        <v>9807</v>
      </c>
      <c r="E42" s="3">
        <f t="shared" si="4"/>
        <v>66.859830924461406</v>
      </c>
      <c r="F42" s="1">
        <f t="shared" si="7"/>
        <v>9706</v>
      </c>
      <c r="G42" s="1">
        <v>29.999999999999996</v>
      </c>
      <c r="H42" s="1">
        <v>1876.9999999999993</v>
      </c>
      <c r="I42" s="1">
        <v>30.000000000000007</v>
      </c>
      <c r="J42" s="1">
        <v>25</v>
      </c>
      <c r="K42" s="1">
        <v>77</v>
      </c>
      <c r="L42" s="1">
        <v>915</v>
      </c>
      <c r="M42" s="1">
        <v>1594</v>
      </c>
      <c r="N42" s="1">
        <v>125.99999999999999</v>
      </c>
      <c r="O42" s="1">
        <v>61</v>
      </c>
      <c r="P42" s="1">
        <v>38.000000000000007</v>
      </c>
      <c r="Q42" s="1">
        <v>633.00000000000011</v>
      </c>
      <c r="R42" s="1">
        <v>2398.0000000000005</v>
      </c>
      <c r="S42" s="1">
        <v>1902.0000000000002</v>
      </c>
      <c r="T42" s="1">
        <v>83</v>
      </c>
      <c r="U42" s="19">
        <v>18</v>
      </c>
      <c r="V42" s="1">
        <v>4861.0000000000009</v>
      </c>
      <c r="W42" s="3">
        <v>33.140169075538587</v>
      </c>
      <c r="X42" s="39"/>
      <c r="Z42" s="1"/>
    </row>
    <row r="43" spans="1:26" x14ac:dyDescent="0.25">
      <c r="A43" s="18" t="s">
        <v>356</v>
      </c>
      <c r="B43" s="1">
        <v>69</v>
      </c>
      <c r="C43" s="1">
        <v>28351.999999999996</v>
      </c>
      <c r="D43" s="1">
        <f t="shared" si="6"/>
        <v>15646.999999999996</v>
      </c>
      <c r="E43" s="3">
        <f t="shared" si="4"/>
        <v>55.188346501128663</v>
      </c>
      <c r="F43" s="1">
        <f t="shared" si="7"/>
        <v>15253.999999999996</v>
      </c>
      <c r="G43" s="1">
        <v>69.999999999999986</v>
      </c>
      <c r="H43" s="1">
        <v>1645.9999999999995</v>
      </c>
      <c r="I43" s="1">
        <v>50.999999999999986</v>
      </c>
      <c r="J43" s="1">
        <v>45</v>
      </c>
      <c r="K43" s="1">
        <v>127</v>
      </c>
      <c r="L43" s="1">
        <v>1051.9999999999998</v>
      </c>
      <c r="M43" s="1">
        <v>3307</v>
      </c>
      <c r="N43" s="1">
        <v>192.00000000000009</v>
      </c>
      <c r="O43" s="1">
        <v>63.000000000000007</v>
      </c>
      <c r="P43" s="1">
        <v>95.000000000000028</v>
      </c>
      <c r="Q43" s="1">
        <v>513.99999999999989</v>
      </c>
      <c r="R43" s="1">
        <v>6190.9999999999982</v>
      </c>
      <c r="S43" s="1">
        <v>1901.0000000000002</v>
      </c>
      <c r="T43" s="1">
        <v>309.99999999999989</v>
      </c>
      <c r="U43" s="19">
        <v>83.000000000000014</v>
      </c>
      <c r="V43" s="1">
        <v>12705</v>
      </c>
      <c r="W43" s="3">
        <v>44.811653498871337</v>
      </c>
      <c r="X43" s="39"/>
      <c r="Z43" s="1"/>
    </row>
    <row r="44" spans="1:26" x14ac:dyDescent="0.25">
      <c r="A44" s="18" t="s">
        <v>357</v>
      </c>
      <c r="B44" s="1">
        <v>31</v>
      </c>
      <c r="C44" s="1">
        <v>12152</v>
      </c>
      <c r="D44" s="1">
        <f t="shared" si="6"/>
        <v>6499</v>
      </c>
      <c r="E44" s="3">
        <f t="shared" si="4"/>
        <v>53.480908492429222</v>
      </c>
      <c r="F44" s="1">
        <f t="shared" si="7"/>
        <v>6374</v>
      </c>
      <c r="G44" s="1">
        <v>25.999999999999996</v>
      </c>
      <c r="H44" s="1">
        <v>791.00000000000011</v>
      </c>
      <c r="I44" s="1">
        <v>24.000000000000004</v>
      </c>
      <c r="J44" s="1">
        <v>54.000000000000007</v>
      </c>
      <c r="K44" s="1">
        <v>102.99999999999997</v>
      </c>
      <c r="L44" s="1">
        <v>823.99999999999989</v>
      </c>
      <c r="M44" s="1">
        <v>1049</v>
      </c>
      <c r="N44" s="1">
        <v>62.999999999999986</v>
      </c>
      <c r="O44" s="1">
        <v>23</v>
      </c>
      <c r="P44" s="1">
        <v>50.999999999999993</v>
      </c>
      <c r="Q44" s="1">
        <v>286.99999999999994</v>
      </c>
      <c r="R44" s="1">
        <v>2102.9999999999995</v>
      </c>
      <c r="S44" s="1">
        <v>976.00000000000023</v>
      </c>
      <c r="T44" s="1">
        <v>108.00000000000001</v>
      </c>
      <c r="U44" s="19">
        <v>17.000000000000007</v>
      </c>
      <c r="V44" s="1">
        <v>5653</v>
      </c>
      <c r="W44" s="3">
        <v>46.519091507570771</v>
      </c>
      <c r="X44" s="39"/>
      <c r="Z44" s="1"/>
    </row>
    <row r="45" spans="1:26" x14ac:dyDescent="0.25">
      <c r="A45" s="18" t="s">
        <v>358</v>
      </c>
      <c r="B45" s="1">
        <v>26</v>
      </c>
      <c r="C45" s="1">
        <v>10970.000000000002</v>
      </c>
      <c r="D45" s="1">
        <f t="shared" si="6"/>
        <v>6597</v>
      </c>
      <c r="E45" s="3">
        <f t="shared" si="4"/>
        <v>60.136736554238823</v>
      </c>
      <c r="F45" s="1">
        <f t="shared" si="7"/>
        <v>6460</v>
      </c>
      <c r="G45" s="1">
        <v>16.999999999999996</v>
      </c>
      <c r="H45" s="1">
        <v>403.99999999999989</v>
      </c>
      <c r="I45" s="1">
        <v>21.000000000000004</v>
      </c>
      <c r="J45" s="1">
        <v>9</v>
      </c>
      <c r="K45" s="1">
        <v>35</v>
      </c>
      <c r="L45" s="1">
        <v>392.00000000000006</v>
      </c>
      <c r="M45" s="1">
        <v>1544</v>
      </c>
      <c r="N45" s="1">
        <v>77</v>
      </c>
      <c r="O45" s="1">
        <v>32.000000000000007</v>
      </c>
      <c r="P45" s="1">
        <v>23.000000000000004</v>
      </c>
      <c r="Q45" s="1">
        <v>428.00000000000006</v>
      </c>
      <c r="R45" s="1">
        <v>2719</v>
      </c>
      <c r="S45" s="1">
        <v>758.99999999999989</v>
      </c>
      <c r="T45" s="1">
        <v>111</v>
      </c>
      <c r="U45" s="19">
        <v>26</v>
      </c>
      <c r="V45" s="1">
        <v>4373</v>
      </c>
      <c r="W45" s="3">
        <v>39.863263445761163</v>
      </c>
      <c r="X45" s="39"/>
      <c r="Z45" s="1"/>
    </row>
    <row r="46" spans="1:26" ht="24.9" customHeight="1" x14ac:dyDescent="0.25">
      <c r="A46" s="38" t="s">
        <v>359</v>
      </c>
      <c r="B46" s="17">
        <f>SUM(B47:B54)</f>
        <v>740</v>
      </c>
      <c r="C46" s="17">
        <f>SUM(C47:C54)</f>
        <v>387905.00000000006</v>
      </c>
      <c r="D46" s="17">
        <f t="shared" ref="D46:V46" si="8">SUM(D47:D54)</f>
        <v>278545</v>
      </c>
      <c r="E46" s="15">
        <f t="shared" si="4"/>
        <v>71.807530194248585</v>
      </c>
      <c r="F46" s="17">
        <f t="shared" si="8"/>
        <v>274459</v>
      </c>
      <c r="G46" s="17">
        <f t="shared" si="8"/>
        <v>1061</v>
      </c>
      <c r="H46" s="17">
        <f t="shared" si="8"/>
        <v>72528</v>
      </c>
      <c r="I46" s="17">
        <f t="shared" si="8"/>
        <v>5919.9999999999991</v>
      </c>
      <c r="J46" s="17">
        <f t="shared" si="8"/>
        <v>527</v>
      </c>
      <c r="K46" s="17">
        <f t="shared" si="8"/>
        <v>2096.9999999999991</v>
      </c>
      <c r="L46" s="17">
        <f t="shared" si="8"/>
        <v>29838.999999999993</v>
      </c>
      <c r="M46" s="17">
        <f t="shared" si="8"/>
        <v>55344.999999999985</v>
      </c>
      <c r="N46" s="17">
        <f t="shared" si="8"/>
        <v>2813.9999999999991</v>
      </c>
      <c r="O46" s="17">
        <f t="shared" si="8"/>
        <v>2361</v>
      </c>
      <c r="P46" s="17">
        <f t="shared" si="8"/>
        <v>1955.0000000000005</v>
      </c>
      <c r="Q46" s="17">
        <f t="shared" si="8"/>
        <v>17464</v>
      </c>
      <c r="R46" s="17">
        <f t="shared" si="8"/>
        <v>41211.000000000007</v>
      </c>
      <c r="S46" s="17">
        <f t="shared" si="8"/>
        <v>41336.999999999993</v>
      </c>
      <c r="T46" s="17">
        <f t="shared" si="8"/>
        <v>3401</v>
      </c>
      <c r="U46" s="17">
        <f t="shared" si="8"/>
        <v>685</v>
      </c>
      <c r="V46" s="17">
        <f t="shared" si="8"/>
        <v>109360.00000000001</v>
      </c>
      <c r="W46" s="15">
        <v>28.192469805751408</v>
      </c>
      <c r="X46" s="39"/>
      <c r="Z46" s="17"/>
    </row>
    <row r="47" spans="1:26" x14ac:dyDescent="0.25">
      <c r="A47" s="18" t="s">
        <v>293</v>
      </c>
      <c r="B47" s="1">
        <v>217</v>
      </c>
      <c r="C47" s="1">
        <v>121426.00000000004</v>
      </c>
      <c r="D47" s="1">
        <f t="shared" ref="D47:D54" si="9">F47+U47+T47</f>
        <v>90682.999999999985</v>
      </c>
      <c r="E47" s="3">
        <f t="shared" si="4"/>
        <v>74.681699141864144</v>
      </c>
      <c r="F47" s="1">
        <f t="shared" ref="F47:F65" si="10">SUM(G47:S47)</f>
        <v>89390.999999999985</v>
      </c>
      <c r="G47" s="1">
        <v>270</v>
      </c>
      <c r="H47" s="1">
        <v>24665</v>
      </c>
      <c r="I47" s="1">
        <v>3294.9999999999995</v>
      </c>
      <c r="J47" s="1">
        <v>174.00000000000003</v>
      </c>
      <c r="K47" s="1">
        <v>574.9999999999992</v>
      </c>
      <c r="L47" s="1">
        <v>9490.9999999999982</v>
      </c>
      <c r="M47" s="1">
        <v>19041.999999999989</v>
      </c>
      <c r="N47" s="1">
        <v>950.9999999999992</v>
      </c>
      <c r="O47" s="1">
        <v>856.00000000000034</v>
      </c>
      <c r="P47" s="1">
        <v>613</v>
      </c>
      <c r="Q47" s="1">
        <v>5269.0000000000009</v>
      </c>
      <c r="R47" s="1">
        <v>10318.000000000004</v>
      </c>
      <c r="S47" s="1">
        <v>13872</v>
      </c>
      <c r="T47" s="19">
        <v>1108.0000000000002</v>
      </c>
      <c r="U47" s="19">
        <v>184.00000000000006</v>
      </c>
      <c r="V47" s="1">
        <v>30743.000000000022</v>
      </c>
      <c r="W47" s="3">
        <v>25.318300858135828</v>
      </c>
      <c r="X47" s="39"/>
      <c r="Z47" s="1"/>
    </row>
    <row r="48" spans="1:26" x14ac:dyDescent="0.25">
      <c r="A48" s="18" t="s">
        <v>360</v>
      </c>
      <c r="B48" s="1">
        <v>86</v>
      </c>
      <c r="C48" s="1">
        <v>46757</v>
      </c>
      <c r="D48" s="1">
        <f t="shared" si="9"/>
        <v>34008.999999999993</v>
      </c>
      <c r="E48" s="3">
        <f t="shared" si="4"/>
        <v>72.735633167226283</v>
      </c>
      <c r="F48" s="1">
        <f t="shared" si="10"/>
        <v>33459.999999999993</v>
      </c>
      <c r="G48" s="1">
        <v>211.99999999999994</v>
      </c>
      <c r="H48" s="1">
        <v>8477.9999999999982</v>
      </c>
      <c r="I48" s="1">
        <v>421</v>
      </c>
      <c r="J48" s="1">
        <v>69</v>
      </c>
      <c r="K48" s="1">
        <v>268.00000000000006</v>
      </c>
      <c r="L48" s="1">
        <v>6342</v>
      </c>
      <c r="M48" s="1">
        <v>5417.9999999999991</v>
      </c>
      <c r="N48" s="1">
        <v>316</v>
      </c>
      <c r="O48" s="1">
        <v>268.99999999999994</v>
      </c>
      <c r="P48" s="1">
        <v>282.00000000000006</v>
      </c>
      <c r="Q48" s="1">
        <v>2872</v>
      </c>
      <c r="R48" s="1">
        <v>4613.0000000000009</v>
      </c>
      <c r="S48" s="1">
        <v>3899.9999999999986</v>
      </c>
      <c r="T48" s="19">
        <v>460.00000000000006</v>
      </c>
      <c r="U48" s="19">
        <v>89</v>
      </c>
      <c r="V48" s="1">
        <v>12747.999999999998</v>
      </c>
      <c r="W48" s="3">
        <v>27.2643668327737</v>
      </c>
      <c r="X48" s="39"/>
      <c r="Z48" s="1"/>
    </row>
    <row r="49" spans="1:26" x14ac:dyDescent="0.25">
      <c r="A49" s="18" t="s">
        <v>361</v>
      </c>
      <c r="B49" s="1">
        <v>127</v>
      </c>
      <c r="C49" s="1">
        <v>70313</v>
      </c>
      <c r="D49" s="1">
        <f t="shared" si="9"/>
        <v>49209.999999999993</v>
      </c>
      <c r="E49" s="3">
        <f t="shared" si="4"/>
        <v>69.987057869810698</v>
      </c>
      <c r="F49" s="1">
        <f t="shared" si="10"/>
        <v>48767.999999999993</v>
      </c>
      <c r="G49" s="1">
        <v>191.99999999999997</v>
      </c>
      <c r="H49" s="1">
        <v>11901.999999999998</v>
      </c>
      <c r="I49" s="1">
        <v>396.99999999999994</v>
      </c>
      <c r="J49" s="1">
        <v>82.999999999999972</v>
      </c>
      <c r="K49" s="1">
        <v>377.99999999999994</v>
      </c>
      <c r="L49" s="1">
        <v>4144.9999999999982</v>
      </c>
      <c r="M49" s="1">
        <v>8441</v>
      </c>
      <c r="N49" s="1">
        <v>599.00000000000011</v>
      </c>
      <c r="O49" s="1">
        <v>467.99999999999983</v>
      </c>
      <c r="P49" s="1">
        <v>300.00000000000017</v>
      </c>
      <c r="Q49" s="1">
        <v>2501</v>
      </c>
      <c r="R49" s="1">
        <v>10656.000000000004</v>
      </c>
      <c r="S49" s="1">
        <v>8705.9999999999945</v>
      </c>
      <c r="T49" s="19">
        <v>368.99999999999983</v>
      </c>
      <c r="U49" s="19">
        <v>73.000000000000014</v>
      </c>
      <c r="V49" s="1">
        <v>21102.999999999993</v>
      </c>
      <c r="W49" s="3">
        <v>30.012942130189284</v>
      </c>
      <c r="X49" s="39"/>
      <c r="Z49" s="1"/>
    </row>
    <row r="50" spans="1:26" x14ac:dyDescent="0.25">
      <c r="A50" s="18" t="s">
        <v>362</v>
      </c>
      <c r="B50" s="1">
        <v>27</v>
      </c>
      <c r="C50" s="1">
        <v>12064</v>
      </c>
      <c r="D50" s="1">
        <f t="shared" si="9"/>
        <v>8428</v>
      </c>
      <c r="E50" s="3">
        <f t="shared" si="4"/>
        <v>69.860742705570289</v>
      </c>
      <c r="F50" s="1">
        <f t="shared" si="10"/>
        <v>8248</v>
      </c>
      <c r="G50" s="1">
        <v>37.000000000000007</v>
      </c>
      <c r="H50" s="1">
        <v>2042</v>
      </c>
      <c r="I50" s="1">
        <v>128.00000000000003</v>
      </c>
      <c r="J50" s="1">
        <v>19</v>
      </c>
      <c r="K50" s="1">
        <v>93.999999999999986</v>
      </c>
      <c r="L50" s="1">
        <v>776.00000000000011</v>
      </c>
      <c r="M50" s="1">
        <v>2105</v>
      </c>
      <c r="N50" s="1">
        <v>72</v>
      </c>
      <c r="O50" s="1">
        <v>81</v>
      </c>
      <c r="P50" s="1">
        <v>46</v>
      </c>
      <c r="Q50" s="1">
        <v>748.00000000000011</v>
      </c>
      <c r="R50" s="1">
        <v>1319</v>
      </c>
      <c r="S50" s="1">
        <v>780.99999999999989</v>
      </c>
      <c r="T50" s="19">
        <v>148</v>
      </c>
      <c r="U50" s="19">
        <v>32.000000000000007</v>
      </c>
      <c r="V50" s="1">
        <v>3636.0000000000014</v>
      </c>
      <c r="W50" s="3">
        <v>30.139257294429722</v>
      </c>
      <c r="X50" s="39"/>
      <c r="Z50" s="1"/>
    </row>
    <row r="51" spans="1:26" x14ac:dyDescent="0.25">
      <c r="A51" s="18" t="s">
        <v>363</v>
      </c>
      <c r="B51" s="1">
        <v>134</v>
      </c>
      <c r="C51" s="1">
        <v>57210.000000000007</v>
      </c>
      <c r="D51" s="1">
        <f t="shared" si="9"/>
        <v>37991.000000000007</v>
      </c>
      <c r="E51" s="3">
        <f t="shared" si="4"/>
        <v>66.406222688341202</v>
      </c>
      <c r="F51" s="1">
        <f t="shared" si="10"/>
        <v>37347.000000000007</v>
      </c>
      <c r="G51" s="1">
        <v>127.00000000000004</v>
      </c>
      <c r="H51" s="1">
        <v>10185.000000000005</v>
      </c>
      <c r="I51" s="1">
        <v>461.00000000000006</v>
      </c>
      <c r="J51" s="1">
        <v>70.999999999999972</v>
      </c>
      <c r="K51" s="1">
        <v>337</v>
      </c>
      <c r="L51" s="1">
        <v>3021.9999999999982</v>
      </c>
      <c r="M51" s="1">
        <v>7631.0000000000009</v>
      </c>
      <c r="N51" s="1">
        <v>292</v>
      </c>
      <c r="O51" s="1">
        <v>185.99999999999989</v>
      </c>
      <c r="P51" s="1">
        <v>267.00000000000011</v>
      </c>
      <c r="Q51" s="1">
        <v>2024.0000000000005</v>
      </c>
      <c r="R51" s="1">
        <v>7507.0000000000009</v>
      </c>
      <c r="S51" s="1">
        <v>5237.0000000000018</v>
      </c>
      <c r="T51" s="19">
        <v>506.00000000000006</v>
      </c>
      <c r="U51" s="19">
        <v>138</v>
      </c>
      <c r="V51" s="1">
        <v>19218.999999999996</v>
      </c>
      <c r="W51" s="3">
        <v>33.593777311658791</v>
      </c>
      <c r="X51" s="39"/>
      <c r="Z51" s="1"/>
    </row>
    <row r="52" spans="1:26" x14ac:dyDescent="0.25">
      <c r="A52" s="18" t="s">
        <v>364</v>
      </c>
      <c r="B52" s="1">
        <v>22</v>
      </c>
      <c r="C52" s="1">
        <v>10589.999999999998</v>
      </c>
      <c r="D52" s="1">
        <f t="shared" si="9"/>
        <v>7360</v>
      </c>
      <c r="E52" s="3">
        <f t="shared" si="4"/>
        <v>69.499527856468376</v>
      </c>
      <c r="F52" s="1">
        <f t="shared" si="10"/>
        <v>7194</v>
      </c>
      <c r="G52" s="1">
        <v>33.000000000000007</v>
      </c>
      <c r="H52" s="1">
        <v>1938</v>
      </c>
      <c r="I52" s="1">
        <v>75.999999999999986</v>
      </c>
      <c r="J52" s="1">
        <v>19.000000000000004</v>
      </c>
      <c r="K52" s="1">
        <v>24.999999999999996</v>
      </c>
      <c r="L52" s="1">
        <v>735</v>
      </c>
      <c r="M52" s="1">
        <v>1562</v>
      </c>
      <c r="N52" s="1">
        <v>59.000000000000007</v>
      </c>
      <c r="O52" s="1">
        <v>96</v>
      </c>
      <c r="P52" s="1">
        <v>57</v>
      </c>
      <c r="Q52" s="1">
        <v>704.99999999999989</v>
      </c>
      <c r="R52" s="1">
        <v>925</v>
      </c>
      <c r="S52" s="1">
        <v>964</v>
      </c>
      <c r="T52" s="19">
        <v>134.00000000000003</v>
      </c>
      <c r="U52" s="19">
        <v>31.999999999999996</v>
      </c>
      <c r="V52" s="1">
        <v>3230</v>
      </c>
      <c r="W52" s="3">
        <v>30.500472143531638</v>
      </c>
      <c r="X52" s="39"/>
      <c r="Z52" s="1"/>
    </row>
    <row r="53" spans="1:26" x14ac:dyDescent="0.25">
      <c r="A53" s="18" t="s">
        <v>365</v>
      </c>
      <c r="B53" s="1">
        <v>64</v>
      </c>
      <c r="C53" s="1">
        <v>36201.999999999993</v>
      </c>
      <c r="D53" s="1">
        <f t="shared" si="9"/>
        <v>26135</v>
      </c>
      <c r="E53" s="3">
        <f t="shared" si="4"/>
        <v>72.192144080437558</v>
      </c>
      <c r="F53" s="1">
        <f t="shared" si="10"/>
        <v>25679</v>
      </c>
      <c r="G53" s="1">
        <v>100.00000000000001</v>
      </c>
      <c r="H53" s="1">
        <v>7171</v>
      </c>
      <c r="I53" s="1">
        <v>601.99999999999977</v>
      </c>
      <c r="J53" s="1">
        <v>52</v>
      </c>
      <c r="K53" s="1">
        <v>285.00000000000006</v>
      </c>
      <c r="L53" s="1">
        <v>2779.0000000000005</v>
      </c>
      <c r="M53" s="1">
        <v>5452</v>
      </c>
      <c r="N53" s="1">
        <v>259.00000000000006</v>
      </c>
      <c r="O53" s="1">
        <v>189.00000000000003</v>
      </c>
      <c r="P53" s="1">
        <v>220.00000000000006</v>
      </c>
      <c r="Q53" s="1">
        <v>1815.0000000000002</v>
      </c>
      <c r="R53" s="1">
        <v>2984.9999999999991</v>
      </c>
      <c r="S53" s="1">
        <v>3770</v>
      </c>
      <c r="T53" s="19">
        <v>395.99999999999994</v>
      </c>
      <c r="U53" s="19">
        <v>60.000000000000007</v>
      </c>
      <c r="V53" s="1">
        <v>10067.000000000004</v>
      </c>
      <c r="W53" s="3">
        <v>27.807855919562467</v>
      </c>
      <c r="X53" s="39"/>
      <c r="Z53" s="1"/>
    </row>
    <row r="54" spans="1:26" x14ac:dyDescent="0.25">
      <c r="A54" s="20" t="s">
        <v>402</v>
      </c>
      <c r="B54" s="40">
        <v>63</v>
      </c>
      <c r="C54" s="40">
        <v>33342.999999999993</v>
      </c>
      <c r="D54" s="40">
        <f t="shared" si="9"/>
        <v>24729.000000000004</v>
      </c>
      <c r="E54" s="41">
        <v>74.099999999999994</v>
      </c>
      <c r="F54" s="40">
        <f t="shared" si="10"/>
        <v>24372.000000000004</v>
      </c>
      <c r="G54" s="1">
        <v>90</v>
      </c>
      <c r="H54" s="1">
        <v>6147</v>
      </c>
      <c r="I54" s="1">
        <v>540.00000000000011</v>
      </c>
      <c r="J54" s="1">
        <v>40.000000000000007</v>
      </c>
      <c r="K54" s="1">
        <v>135</v>
      </c>
      <c r="L54" s="1">
        <v>2549</v>
      </c>
      <c r="M54" s="1">
        <v>5694.0000000000018</v>
      </c>
      <c r="N54" s="1">
        <v>265.99999999999994</v>
      </c>
      <c r="O54" s="1">
        <v>215.99999999999991</v>
      </c>
      <c r="P54" s="1">
        <v>169.99999999999997</v>
      </c>
      <c r="Q54" s="1">
        <v>1529.9999999999998</v>
      </c>
      <c r="R54" s="1">
        <v>2888</v>
      </c>
      <c r="S54" s="1">
        <v>4107.0000000000027</v>
      </c>
      <c r="T54" s="19">
        <v>280.00000000000006</v>
      </c>
      <c r="U54" s="19">
        <v>77</v>
      </c>
      <c r="V54" s="1">
        <v>8613.9999999999964</v>
      </c>
      <c r="W54" s="3">
        <v>25.9</v>
      </c>
      <c r="X54" s="39"/>
      <c r="Y54" s="39"/>
      <c r="Z54" s="1"/>
    </row>
    <row r="55" spans="1:26" ht="24.9" customHeight="1" x14ac:dyDescent="0.25">
      <c r="A55" s="38" t="s">
        <v>366</v>
      </c>
      <c r="B55" s="17">
        <f>SUM(B56:B65)</f>
        <v>613</v>
      </c>
      <c r="C55" s="17">
        <f>SUM(C56:C65)</f>
        <v>332859</v>
      </c>
      <c r="D55" s="17">
        <f>SUM(D56:D65)</f>
        <v>238377</v>
      </c>
      <c r="E55" s="15">
        <f t="shared" si="4"/>
        <v>71.615008156606848</v>
      </c>
      <c r="F55" s="17">
        <f t="shared" si="10"/>
        <v>236246</v>
      </c>
      <c r="G55" s="17">
        <f t="shared" ref="G55:V55" si="11">SUM(G56:G65)</f>
        <v>580</v>
      </c>
      <c r="H55" s="17">
        <f t="shared" si="11"/>
        <v>64449</v>
      </c>
      <c r="I55" s="17">
        <f t="shared" si="11"/>
        <v>682</v>
      </c>
      <c r="J55" s="17">
        <f t="shared" si="11"/>
        <v>401</v>
      </c>
      <c r="K55" s="17">
        <f t="shared" si="11"/>
        <v>1895.9999999999998</v>
      </c>
      <c r="L55" s="17">
        <f t="shared" si="11"/>
        <v>19075</v>
      </c>
      <c r="M55" s="17">
        <f t="shared" si="11"/>
        <v>41779.999999999993</v>
      </c>
      <c r="N55" s="17">
        <f t="shared" si="11"/>
        <v>2409.9999999999995</v>
      </c>
      <c r="O55" s="17">
        <f t="shared" si="11"/>
        <v>2206.9999999999995</v>
      </c>
      <c r="P55" s="17">
        <f t="shared" si="11"/>
        <v>1236.0000000000002</v>
      </c>
      <c r="Q55" s="17">
        <f t="shared" si="11"/>
        <v>8791.9999999999982</v>
      </c>
      <c r="R55" s="17">
        <f t="shared" si="11"/>
        <v>50033</v>
      </c>
      <c r="S55" s="17">
        <f t="shared" si="11"/>
        <v>42704.999999999993</v>
      </c>
      <c r="T55" s="17">
        <f t="shared" si="11"/>
        <v>1780</v>
      </c>
      <c r="U55" s="17">
        <f t="shared" si="11"/>
        <v>351</v>
      </c>
      <c r="V55" s="17">
        <f t="shared" si="11"/>
        <v>94482</v>
      </c>
      <c r="W55" s="15">
        <v>28.4</v>
      </c>
      <c r="X55" s="39"/>
      <c r="Z55" s="17"/>
    </row>
    <row r="56" spans="1:26" x14ac:dyDescent="0.25">
      <c r="A56" s="2" t="s">
        <v>294</v>
      </c>
      <c r="B56" s="1">
        <v>167</v>
      </c>
      <c r="C56" s="1">
        <v>96660.999999999985</v>
      </c>
      <c r="D56" s="1">
        <f t="shared" ref="D56:D65" si="12">F56+U56+T56</f>
        <v>69101</v>
      </c>
      <c r="E56" s="3">
        <f t="shared" si="4"/>
        <v>71.487983778359435</v>
      </c>
      <c r="F56" s="1">
        <f>SUM(G56:S56)</f>
        <v>68559</v>
      </c>
      <c r="G56" s="1">
        <v>175.00000000000006</v>
      </c>
      <c r="H56" s="1">
        <v>20130.000000000004</v>
      </c>
      <c r="I56" s="1">
        <v>219.99999999999989</v>
      </c>
      <c r="J56" s="1">
        <v>130</v>
      </c>
      <c r="K56" s="1">
        <v>565.99999999999977</v>
      </c>
      <c r="L56" s="1">
        <v>5073.0000000000018</v>
      </c>
      <c r="M56" s="1">
        <v>12235</v>
      </c>
      <c r="N56" s="1">
        <v>700.99999999999966</v>
      </c>
      <c r="O56" s="1">
        <v>692.99999999999977</v>
      </c>
      <c r="P56" s="1">
        <v>360.00000000000017</v>
      </c>
      <c r="Q56" s="1">
        <v>2231.9999999999986</v>
      </c>
      <c r="R56" s="1">
        <v>13912.999999999996</v>
      </c>
      <c r="S56" s="1">
        <v>12130.999999999998</v>
      </c>
      <c r="T56" s="19">
        <v>457.99999999999989</v>
      </c>
      <c r="U56" s="19">
        <v>84</v>
      </c>
      <c r="V56" s="1">
        <v>27560.000000000004</v>
      </c>
      <c r="W56" s="3">
        <v>28.512016221640586</v>
      </c>
      <c r="X56" s="39"/>
      <c r="Z56" s="1"/>
    </row>
    <row r="57" spans="1:26" x14ac:dyDescent="0.25">
      <c r="A57" s="2" t="s">
        <v>367</v>
      </c>
      <c r="B57" s="1">
        <v>60</v>
      </c>
      <c r="C57" s="1">
        <v>32786.000000000007</v>
      </c>
      <c r="D57" s="1">
        <f t="shared" si="12"/>
        <v>24613.999999999993</v>
      </c>
      <c r="E57" s="3">
        <f t="shared" si="4"/>
        <v>75.074727017629442</v>
      </c>
      <c r="F57" s="1">
        <f t="shared" si="10"/>
        <v>24449.999999999993</v>
      </c>
      <c r="G57" s="1">
        <v>37.000000000000007</v>
      </c>
      <c r="H57" s="1">
        <v>7330.9999999999964</v>
      </c>
      <c r="I57" s="1">
        <v>69</v>
      </c>
      <c r="J57" s="1">
        <v>42.000000000000007</v>
      </c>
      <c r="K57" s="1">
        <v>268.99999999999994</v>
      </c>
      <c r="L57" s="1">
        <v>1925.0000000000005</v>
      </c>
      <c r="M57" s="1">
        <v>4064.9999999999973</v>
      </c>
      <c r="N57" s="1">
        <v>256</v>
      </c>
      <c r="O57" s="1">
        <v>273.99999999999994</v>
      </c>
      <c r="P57" s="1">
        <v>111.00000000000001</v>
      </c>
      <c r="Q57" s="1">
        <v>1174.0000000000002</v>
      </c>
      <c r="R57" s="1">
        <v>4975</v>
      </c>
      <c r="S57" s="1">
        <v>3921.9999999999986</v>
      </c>
      <c r="T57" s="19">
        <v>142.99999999999997</v>
      </c>
      <c r="U57" s="19">
        <v>21.000000000000004</v>
      </c>
      <c r="V57" s="1">
        <v>8172.0000000000045</v>
      </c>
      <c r="W57" s="3">
        <v>24.925272982370533</v>
      </c>
      <c r="X57" s="39"/>
      <c r="Z57" s="1"/>
    </row>
    <row r="58" spans="1:26" x14ac:dyDescent="0.25">
      <c r="A58" s="2" t="s">
        <v>368</v>
      </c>
      <c r="B58" s="1">
        <v>61</v>
      </c>
      <c r="C58" s="1">
        <v>34420.999999999978</v>
      </c>
      <c r="D58" s="1">
        <f t="shared" si="12"/>
        <v>25701</v>
      </c>
      <c r="E58" s="3">
        <f t="shared" si="4"/>
        <v>74.666627930623804</v>
      </c>
      <c r="F58" s="1">
        <f t="shared" si="10"/>
        <v>25454</v>
      </c>
      <c r="G58" s="1">
        <v>57</v>
      </c>
      <c r="H58" s="1">
        <v>6905.9999999999991</v>
      </c>
      <c r="I58" s="1">
        <v>82.000000000000043</v>
      </c>
      <c r="J58" s="1">
        <v>35</v>
      </c>
      <c r="K58" s="1">
        <v>167</v>
      </c>
      <c r="L58" s="1">
        <v>2050.9999999999986</v>
      </c>
      <c r="M58" s="1">
        <v>4732.0000000000009</v>
      </c>
      <c r="N58" s="1">
        <v>223.00000000000003</v>
      </c>
      <c r="O58" s="1">
        <v>239</v>
      </c>
      <c r="P58" s="1">
        <v>201.00000000000003</v>
      </c>
      <c r="Q58" s="1">
        <v>759.99999999999989</v>
      </c>
      <c r="R58" s="1">
        <v>4657.0000000000009</v>
      </c>
      <c r="S58" s="1">
        <v>5343.9999999999982</v>
      </c>
      <c r="T58" s="19">
        <v>211.00000000000003</v>
      </c>
      <c r="U58" s="19">
        <v>36.000000000000007</v>
      </c>
      <c r="V58" s="1">
        <v>8719.9999999999982</v>
      </c>
      <c r="W58" s="3">
        <v>25.333372069376264</v>
      </c>
      <c r="X58" s="39"/>
      <c r="Z58" s="1"/>
    </row>
    <row r="59" spans="1:26" x14ac:dyDescent="0.25">
      <c r="A59" s="2" t="s">
        <v>369</v>
      </c>
      <c r="B59" s="1">
        <v>48</v>
      </c>
      <c r="C59" s="1">
        <v>26746.000000000007</v>
      </c>
      <c r="D59" s="1">
        <f t="shared" si="12"/>
        <v>19102.000000000004</v>
      </c>
      <c r="E59" s="3">
        <f t="shared" si="4"/>
        <v>71.420025424362521</v>
      </c>
      <c r="F59" s="1">
        <f t="shared" si="10"/>
        <v>18938.000000000004</v>
      </c>
      <c r="G59" s="1">
        <v>49.999999999999993</v>
      </c>
      <c r="H59" s="1">
        <v>4739.0000000000018</v>
      </c>
      <c r="I59" s="1">
        <v>50.000000000000014</v>
      </c>
      <c r="J59" s="1">
        <v>27</v>
      </c>
      <c r="K59" s="1">
        <v>123</v>
      </c>
      <c r="L59" s="1">
        <v>1702.0000000000009</v>
      </c>
      <c r="M59" s="1">
        <v>3193.0000000000005</v>
      </c>
      <c r="N59" s="1">
        <v>187.00000000000003</v>
      </c>
      <c r="O59" s="1">
        <v>172.99999999999997</v>
      </c>
      <c r="P59" s="1">
        <v>87.000000000000028</v>
      </c>
      <c r="Q59" s="1">
        <v>1115</v>
      </c>
      <c r="R59" s="1">
        <v>4709.9999999999991</v>
      </c>
      <c r="S59" s="1">
        <v>2782</v>
      </c>
      <c r="T59" s="19">
        <v>146</v>
      </c>
      <c r="U59" s="19">
        <v>18</v>
      </c>
      <c r="V59" s="1">
        <v>7644</v>
      </c>
      <c r="W59" s="3">
        <v>28.579974575637472</v>
      </c>
      <c r="X59" s="39"/>
      <c r="Z59" s="1"/>
    </row>
    <row r="60" spans="1:26" x14ac:dyDescent="0.25">
      <c r="A60" s="2" t="s">
        <v>370</v>
      </c>
      <c r="B60" s="1">
        <v>64</v>
      </c>
      <c r="C60" s="1">
        <v>35395.000000000007</v>
      </c>
      <c r="D60" s="1">
        <f t="shared" si="12"/>
        <v>25287</v>
      </c>
      <c r="E60" s="3">
        <f t="shared" si="4"/>
        <v>71.442294109337467</v>
      </c>
      <c r="F60" s="1">
        <f t="shared" si="10"/>
        <v>25067</v>
      </c>
      <c r="G60" s="1">
        <v>67.000000000000014</v>
      </c>
      <c r="H60" s="1">
        <v>7442</v>
      </c>
      <c r="I60" s="1">
        <v>68.999999999999986</v>
      </c>
      <c r="J60" s="1">
        <v>46</v>
      </c>
      <c r="K60" s="1">
        <v>219.99999999999997</v>
      </c>
      <c r="L60" s="1">
        <v>2064.0000000000014</v>
      </c>
      <c r="M60" s="1">
        <v>4039</v>
      </c>
      <c r="N60" s="1">
        <v>224</v>
      </c>
      <c r="O60" s="1">
        <v>242.99999999999997</v>
      </c>
      <c r="P60" s="1">
        <v>128.99999999999997</v>
      </c>
      <c r="Q60" s="1">
        <v>942.00000000000023</v>
      </c>
      <c r="R60" s="1">
        <v>5238</v>
      </c>
      <c r="S60" s="1">
        <v>4343.9999999999991</v>
      </c>
      <c r="T60" s="19">
        <v>180.00000000000006</v>
      </c>
      <c r="U60" s="19">
        <v>40</v>
      </c>
      <c r="V60" s="1">
        <v>10107.999999999996</v>
      </c>
      <c r="W60" s="3">
        <v>28.557705890662504</v>
      </c>
      <c r="X60" s="39"/>
      <c r="Z60" s="1"/>
    </row>
    <row r="61" spans="1:26" x14ac:dyDescent="0.25">
      <c r="A61" s="21" t="s">
        <v>403</v>
      </c>
      <c r="B61" s="40">
        <v>33</v>
      </c>
      <c r="C61" s="40">
        <v>16081.000000000004</v>
      </c>
      <c r="D61" s="40">
        <f t="shared" si="12"/>
        <v>11663</v>
      </c>
      <c r="E61" s="41">
        <v>72.599999999999994</v>
      </c>
      <c r="F61" s="40">
        <f t="shared" si="10"/>
        <v>11559</v>
      </c>
      <c r="G61" s="1">
        <v>26</v>
      </c>
      <c r="H61" s="1">
        <v>3393</v>
      </c>
      <c r="I61" s="1">
        <v>34</v>
      </c>
      <c r="J61" s="1">
        <v>27.000000000000007</v>
      </c>
      <c r="K61" s="1">
        <v>87.000000000000014</v>
      </c>
      <c r="L61" s="1">
        <v>1030.9999999999998</v>
      </c>
      <c r="M61" s="1">
        <v>2268</v>
      </c>
      <c r="N61" s="1">
        <v>119</v>
      </c>
      <c r="O61" s="1">
        <v>103</v>
      </c>
      <c r="P61" s="1">
        <v>65</v>
      </c>
      <c r="Q61" s="1">
        <v>348</v>
      </c>
      <c r="R61" s="1">
        <v>1719.0000000000002</v>
      </c>
      <c r="S61" s="1">
        <v>2339</v>
      </c>
      <c r="T61" s="19">
        <v>83</v>
      </c>
      <c r="U61" s="19">
        <v>21.000000000000007</v>
      </c>
      <c r="V61" s="1">
        <v>4418.0000000000009</v>
      </c>
      <c r="W61" s="3">
        <v>27.4</v>
      </c>
      <c r="X61" s="39"/>
      <c r="Y61" s="39"/>
      <c r="Z61" s="1"/>
    </row>
    <row r="62" spans="1:26" x14ac:dyDescent="0.25">
      <c r="A62" s="2" t="s">
        <v>371</v>
      </c>
      <c r="B62" s="1">
        <v>33</v>
      </c>
      <c r="C62" s="1">
        <v>18744.999999999996</v>
      </c>
      <c r="D62" s="1">
        <f t="shared" si="12"/>
        <v>14078</v>
      </c>
      <c r="E62" s="3">
        <f t="shared" si="4"/>
        <v>75.102694051747136</v>
      </c>
      <c r="F62" s="1">
        <f t="shared" si="10"/>
        <v>13979</v>
      </c>
      <c r="G62" s="1">
        <v>28</v>
      </c>
      <c r="H62" s="1">
        <v>3841</v>
      </c>
      <c r="I62" s="1">
        <v>23</v>
      </c>
      <c r="J62" s="1">
        <v>13.999999999999998</v>
      </c>
      <c r="K62" s="1">
        <v>120</v>
      </c>
      <c r="L62" s="1">
        <v>999</v>
      </c>
      <c r="M62" s="1">
        <v>2964.9999999999995</v>
      </c>
      <c r="N62" s="1">
        <v>148.99999999999991</v>
      </c>
      <c r="O62" s="1">
        <v>107</v>
      </c>
      <c r="P62" s="1">
        <v>49.000000000000007</v>
      </c>
      <c r="Q62" s="1">
        <v>355.99999999999994</v>
      </c>
      <c r="R62" s="1">
        <v>1575.0000000000002</v>
      </c>
      <c r="S62" s="1">
        <v>3752.9999999999995</v>
      </c>
      <c r="T62" s="19">
        <v>82</v>
      </c>
      <c r="U62" s="19">
        <v>17</v>
      </c>
      <c r="V62" s="1">
        <v>4667</v>
      </c>
      <c r="W62" s="3">
        <v>24.897305948252875</v>
      </c>
      <c r="X62" s="39"/>
      <c r="Z62" s="1"/>
    </row>
    <row r="63" spans="1:26" x14ac:dyDescent="0.25">
      <c r="A63" s="2" t="s">
        <v>372</v>
      </c>
      <c r="B63" s="1">
        <v>29</v>
      </c>
      <c r="C63" s="1">
        <v>16683</v>
      </c>
      <c r="D63" s="1">
        <f t="shared" si="12"/>
        <v>12650</v>
      </c>
      <c r="E63" s="3">
        <f t="shared" si="4"/>
        <v>75.825690822993465</v>
      </c>
      <c r="F63" s="1">
        <f t="shared" si="10"/>
        <v>12584</v>
      </c>
      <c r="G63" s="1">
        <v>20.000000000000004</v>
      </c>
      <c r="H63" s="1">
        <v>3389</v>
      </c>
      <c r="I63" s="1">
        <v>23</v>
      </c>
      <c r="J63" s="1">
        <v>18.000000000000004</v>
      </c>
      <c r="K63" s="1">
        <v>82.999999999999986</v>
      </c>
      <c r="L63" s="1">
        <v>1094.0000000000002</v>
      </c>
      <c r="M63" s="1">
        <v>2532</v>
      </c>
      <c r="N63" s="1">
        <v>94</v>
      </c>
      <c r="O63" s="1">
        <v>111.99999999999999</v>
      </c>
      <c r="P63" s="1">
        <v>52.000000000000007</v>
      </c>
      <c r="Q63" s="1">
        <v>545</v>
      </c>
      <c r="R63" s="1">
        <v>1806.0000000000002</v>
      </c>
      <c r="S63" s="1">
        <v>2815.9999999999995</v>
      </c>
      <c r="T63" s="19">
        <v>55.000000000000007</v>
      </c>
      <c r="U63" s="19">
        <v>11</v>
      </c>
      <c r="V63" s="1">
        <v>4033.0000000000005</v>
      </c>
      <c r="W63" s="3">
        <v>24.174309177006535</v>
      </c>
      <c r="X63" s="39"/>
      <c r="Z63" s="1"/>
    </row>
    <row r="64" spans="1:26" x14ac:dyDescent="0.25">
      <c r="A64" s="2" t="s">
        <v>373</v>
      </c>
      <c r="B64" s="1">
        <v>39</v>
      </c>
      <c r="C64" s="1">
        <v>21949.999999999996</v>
      </c>
      <c r="D64" s="1">
        <f t="shared" si="12"/>
        <v>16307.000000000002</v>
      </c>
      <c r="E64" s="3">
        <f t="shared" si="4"/>
        <v>74.291571753986346</v>
      </c>
      <c r="F64" s="1">
        <f t="shared" si="10"/>
        <v>16188.000000000002</v>
      </c>
      <c r="G64" s="1">
        <v>31.000000000000004</v>
      </c>
      <c r="H64" s="1">
        <v>4689.0000000000009</v>
      </c>
      <c r="I64" s="1">
        <v>38</v>
      </c>
      <c r="J64" s="1">
        <v>23.999999999999996</v>
      </c>
      <c r="K64" s="1">
        <v>115.00000000000003</v>
      </c>
      <c r="L64" s="1">
        <v>1075</v>
      </c>
      <c r="M64" s="1">
        <v>2676</v>
      </c>
      <c r="N64" s="1">
        <v>123.99999999999999</v>
      </c>
      <c r="O64" s="1">
        <v>131.99999999999997</v>
      </c>
      <c r="P64" s="1">
        <v>66.000000000000014</v>
      </c>
      <c r="Q64" s="1">
        <v>508</v>
      </c>
      <c r="R64" s="1">
        <v>3018.0000000000014</v>
      </c>
      <c r="S64" s="1">
        <v>3692</v>
      </c>
      <c r="T64" s="19">
        <v>103</v>
      </c>
      <c r="U64" s="19">
        <v>16</v>
      </c>
      <c r="V64" s="1">
        <v>5643.0000000000009</v>
      </c>
      <c r="W64" s="3">
        <v>25.708428246013675</v>
      </c>
      <c r="X64" s="39"/>
      <c r="Z64" s="1"/>
    </row>
    <row r="65" spans="1:26" x14ac:dyDescent="0.25">
      <c r="A65" s="2" t="s">
        <v>374</v>
      </c>
      <c r="B65" s="1">
        <v>79</v>
      </c>
      <c r="C65" s="1">
        <v>33391</v>
      </c>
      <c r="D65" s="1">
        <f t="shared" si="12"/>
        <v>19874</v>
      </c>
      <c r="E65" s="3">
        <f t="shared" si="4"/>
        <v>59.519032074511088</v>
      </c>
      <c r="F65" s="1">
        <f t="shared" si="10"/>
        <v>19468</v>
      </c>
      <c r="G65" s="1">
        <v>89</v>
      </c>
      <c r="H65" s="1">
        <v>2589</v>
      </c>
      <c r="I65" s="1">
        <v>74</v>
      </c>
      <c r="J65" s="1">
        <v>37.999999999999993</v>
      </c>
      <c r="K65" s="1">
        <v>145.99999999999994</v>
      </c>
      <c r="L65" s="1">
        <v>2061.0000000000009</v>
      </c>
      <c r="M65" s="1">
        <v>3074.9999999999995</v>
      </c>
      <c r="N65" s="1">
        <v>333.00000000000011</v>
      </c>
      <c r="O65" s="1">
        <v>131</v>
      </c>
      <c r="P65" s="1">
        <v>115.99999999999999</v>
      </c>
      <c r="Q65" s="1">
        <v>811.99999999999966</v>
      </c>
      <c r="R65" s="1">
        <v>8421.9999999999982</v>
      </c>
      <c r="S65" s="1">
        <v>1581.9999999999998</v>
      </c>
      <c r="T65" s="19">
        <v>319</v>
      </c>
      <c r="U65" s="19">
        <v>86.999999999999986</v>
      </c>
      <c r="V65" s="1">
        <v>13516.999999999998</v>
      </c>
      <c r="W65" s="3">
        <v>40.480967925488898</v>
      </c>
      <c r="X65" s="39"/>
      <c r="Z65" s="1"/>
    </row>
    <row r="66" spans="1:26" ht="24.9" customHeight="1" x14ac:dyDescent="0.25">
      <c r="A66" s="38" t="s">
        <v>375</v>
      </c>
      <c r="B66" s="17">
        <f>SUM(B67:B77)</f>
        <v>565</v>
      </c>
      <c r="C66" s="17">
        <f>SUM(C67:C77)</f>
        <v>240637.00000000003</v>
      </c>
      <c r="D66" s="17">
        <f t="shared" ref="D66:V66" si="13">SUM(D67:D77)</f>
        <v>142830</v>
      </c>
      <c r="E66" s="15">
        <f t="shared" si="4"/>
        <v>59.354962038256787</v>
      </c>
      <c r="F66" s="17">
        <f t="shared" si="13"/>
        <v>139808</v>
      </c>
      <c r="G66" s="17">
        <f t="shared" si="13"/>
        <v>527.99999999999989</v>
      </c>
      <c r="H66" s="17">
        <f>SUM(H67:H77)</f>
        <v>21088.999999999996</v>
      </c>
      <c r="I66" s="17">
        <f t="shared" si="13"/>
        <v>438</v>
      </c>
      <c r="J66" s="17">
        <f t="shared" si="13"/>
        <v>255.00000000000003</v>
      </c>
      <c r="K66" s="17">
        <f t="shared" si="13"/>
        <v>942</v>
      </c>
      <c r="L66" s="17">
        <f t="shared" si="13"/>
        <v>15653</v>
      </c>
      <c r="M66" s="17">
        <f t="shared" si="13"/>
        <v>32937</v>
      </c>
      <c r="N66" s="17">
        <f t="shared" si="13"/>
        <v>1346</v>
      </c>
      <c r="O66" s="17">
        <f t="shared" si="13"/>
        <v>690.99999999999989</v>
      </c>
      <c r="P66" s="17">
        <f t="shared" si="13"/>
        <v>822.00000000000023</v>
      </c>
      <c r="Q66" s="17">
        <f t="shared" si="13"/>
        <v>7266</v>
      </c>
      <c r="R66" s="17">
        <f t="shared" si="13"/>
        <v>35733.000000000007</v>
      </c>
      <c r="S66" s="17">
        <f t="shared" si="13"/>
        <v>22107.999999999996</v>
      </c>
      <c r="T66" s="17">
        <f t="shared" si="13"/>
        <v>2392</v>
      </c>
      <c r="U66" s="17">
        <f t="shared" si="13"/>
        <v>630</v>
      </c>
      <c r="V66" s="17">
        <f t="shared" si="13"/>
        <v>97807</v>
      </c>
      <c r="W66" s="15">
        <v>40.645037961743199</v>
      </c>
      <c r="X66" s="39"/>
      <c r="Z66" s="17"/>
    </row>
    <row r="67" spans="1:26" x14ac:dyDescent="0.25">
      <c r="A67" s="21" t="s">
        <v>404</v>
      </c>
      <c r="B67" s="40">
        <v>87</v>
      </c>
      <c r="C67" s="40">
        <v>44938.000000000036</v>
      </c>
      <c r="D67" s="40">
        <f t="shared" ref="D67:D77" si="14">F67+U67+T67</f>
        <v>25813</v>
      </c>
      <c r="E67" s="41">
        <v>57.5</v>
      </c>
      <c r="F67" s="40">
        <f t="shared" ref="F67:F77" si="15">SUM(G67:S67)</f>
        <v>25399</v>
      </c>
      <c r="G67" s="1">
        <v>162.99999999999994</v>
      </c>
      <c r="H67" s="1">
        <v>4383.9999999999991</v>
      </c>
      <c r="I67" s="1">
        <v>74</v>
      </c>
      <c r="J67" s="1">
        <v>51.000000000000021</v>
      </c>
      <c r="K67" s="1">
        <v>178.00000000000003</v>
      </c>
      <c r="L67" s="1">
        <v>2635</v>
      </c>
      <c r="M67" s="1">
        <v>5346.0000000000018</v>
      </c>
      <c r="N67" s="1">
        <v>216</v>
      </c>
      <c r="O67" s="1">
        <v>159.00000000000003</v>
      </c>
      <c r="P67" s="1">
        <v>185.00000000000006</v>
      </c>
      <c r="Q67" s="1">
        <v>1432.0000000000002</v>
      </c>
      <c r="R67" s="1">
        <v>6902.0000000000018</v>
      </c>
      <c r="S67" s="1">
        <v>3673.9999999999995</v>
      </c>
      <c r="T67" s="19">
        <v>327.00000000000006</v>
      </c>
      <c r="U67" s="19">
        <v>86.999999999999986</v>
      </c>
      <c r="V67" s="1">
        <v>19125.000000000007</v>
      </c>
      <c r="W67" s="3">
        <v>42.5</v>
      </c>
      <c r="X67" s="39"/>
      <c r="Y67" s="39"/>
      <c r="Z67" s="1"/>
    </row>
    <row r="68" spans="1:26" x14ac:dyDescent="0.25">
      <c r="A68" s="2" t="s">
        <v>376</v>
      </c>
      <c r="B68" s="1">
        <v>106</v>
      </c>
      <c r="C68" s="1">
        <v>40987</v>
      </c>
      <c r="D68" s="1">
        <f t="shared" si="14"/>
        <v>25934.999999999993</v>
      </c>
      <c r="E68" s="3">
        <f t="shared" si="4"/>
        <v>63.276160733891217</v>
      </c>
      <c r="F68" s="1">
        <f t="shared" si="15"/>
        <v>25335.999999999993</v>
      </c>
      <c r="G68" s="1">
        <v>57.999999999999979</v>
      </c>
      <c r="H68" s="1">
        <v>3346.9999999999973</v>
      </c>
      <c r="I68" s="1">
        <v>82.999999999999972</v>
      </c>
      <c r="J68" s="1">
        <v>41.000000000000014</v>
      </c>
      <c r="K68" s="1">
        <v>248.00000000000003</v>
      </c>
      <c r="L68" s="1">
        <v>2616.9999999999991</v>
      </c>
      <c r="M68" s="1">
        <v>6602.9999999999973</v>
      </c>
      <c r="N68" s="1">
        <v>232</v>
      </c>
      <c r="O68" s="1">
        <v>115.99999999999993</v>
      </c>
      <c r="P68" s="1">
        <v>126.00000000000004</v>
      </c>
      <c r="Q68" s="1">
        <v>1349.9999999999998</v>
      </c>
      <c r="R68" s="1">
        <v>5775.0000000000018</v>
      </c>
      <c r="S68" s="1">
        <v>4739.9999999999991</v>
      </c>
      <c r="T68" s="19">
        <v>474.00000000000011</v>
      </c>
      <c r="U68" s="19">
        <v>125.00000000000001</v>
      </c>
      <c r="V68" s="1">
        <v>15052.000000000004</v>
      </c>
      <c r="W68" s="3">
        <v>36.723839266108776</v>
      </c>
      <c r="X68" s="39"/>
      <c r="Z68" s="1"/>
    </row>
    <row r="69" spans="1:26" x14ac:dyDescent="0.25">
      <c r="A69" s="2" t="s">
        <v>377</v>
      </c>
      <c r="B69" s="1">
        <v>92</v>
      </c>
      <c r="C69" s="1">
        <v>41107.000000000007</v>
      </c>
      <c r="D69" s="1">
        <f t="shared" si="14"/>
        <v>23881.000000000004</v>
      </c>
      <c r="E69" s="3">
        <f t="shared" si="4"/>
        <v>58.094728391758089</v>
      </c>
      <c r="F69" s="1">
        <f t="shared" si="15"/>
        <v>23243.000000000004</v>
      </c>
      <c r="G69" s="1">
        <v>105.00000000000004</v>
      </c>
      <c r="H69" s="1">
        <v>3319.0000000000009</v>
      </c>
      <c r="I69" s="1">
        <v>64.000000000000014</v>
      </c>
      <c r="J69" s="1">
        <v>53.999999999999993</v>
      </c>
      <c r="K69" s="1">
        <v>142.99999999999997</v>
      </c>
      <c r="L69" s="1">
        <v>3722.0000000000014</v>
      </c>
      <c r="M69" s="1">
        <v>5625</v>
      </c>
      <c r="N69" s="1">
        <v>210.99999999999997</v>
      </c>
      <c r="O69" s="1">
        <v>86.999999999999972</v>
      </c>
      <c r="P69" s="1">
        <v>120.00000000000004</v>
      </c>
      <c r="Q69" s="1">
        <v>1302</v>
      </c>
      <c r="R69" s="1">
        <v>4622.0000000000018</v>
      </c>
      <c r="S69" s="1">
        <v>3868.9999999999991</v>
      </c>
      <c r="T69" s="19">
        <v>479.99999999999977</v>
      </c>
      <c r="U69" s="19">
        <v>158</v>
      </c>
      <c r="V69" s="1">
        <v>17225.999999999993</v>
      </c>
      <c r="W69" s="3">
        <v>41.905271608241875</v>
      </c>
      <c r="X69" s="39"/>
      <c r="Z69" s="1"/>
    </row>
    <row r="70" spans="1:26" x14ac:dyDescent="0.25">
      <c r="A70" s="2" t="s">
        <v>378</v>
      </c>
      <c r="B70" s="1">
        <v>32</v>
      </c>
      <c r="C70" s="1">
        <v>13686</v>
      </c>
      <c r="D70" s="1">
        <f t="shared" si="14"/>
        <v>7922</v>
      </c>
      <c r="E70" s="3">
        <f t="shared" si="4"/>
        <v>57.883969019435924</v>
      </c>
      <c r="F70" s="1">
        <f t="shared" si="15"/>
        <v>7801</v>
      </c>
      <c r="G70" s="1">
        <v>23.999999999999996</v>
      </c>
      <c r="H70" s="1">
        <v>1401</v>
      </c>
      <c r="I70" s="1">
        <v>17</v>
      </c>
      <c r="J70" s="1">
        <v>17</v>
      </c>
      <c r="K70" s="1">
        <v>83</v>
      </c>
      <c r="L70" s="1">
        <v>785</v>
      </c>
      <c r="M70" s="1">
        <v>1467</v>
      </c>
      <c r="N70" s="1">
        <v>59</v>
      </c>
      <c r="O70" s="1">
        <v>47</v>
      </c>
      <c r="P70" s="1">
        <v>47</v>
      </c>
      <c r="Q70" s="1">
        <v>303.00000000000006</v>
      </c>
      <c r="R70" s="1">
        <v>2470</v>
      </c>
      <c r="S70" s="1">
        <v>1081.0000000000002</v>
      </c>
      <c r="T70" s="19">
        <v>101.00000000000001</v>
      </c>
      <c r="U70" s="19">
        <v>20</v>
      </c>
      <c r="V70" s="1">
        <v>5764.0000000000009</v>
      </c>
      <c r="W70" s="3">
        <v>42.116030980564084</v>
      </c>
      <c r="X70" s="39"/>
      <c r="Z70" s="1"/>
    </row>
    <row r="71" spans="1:26" x14ac:dyDescent="0.25">
      <c r="A71" s="2" t="s">
        <v>379</v>
      </c>
      <c r="B71" s="1">
        <v>48</v>
      </c>
      <c r="C71" s="1">
        <v>24282.999999999993</v>
      </c>
      <c r="D71" s="1">
        <f t="shared" si="14"/>
        <v>13523</v>
      </c>
      <c r="E71" s="3">
        <f t="shared" si="4"/>
        <v>55.689165259646678</v>
      </c>
      <c r="F71" s="1">
        <f t="shared" si="15"/>
        <v>13141</v>
      </c>
      <c r="G71" s="1">
        <v>54</v>
      </c>
      <c r="H71" s="1">
        <v>1571.0000000000002</v>
      </c>
      <c r="I71" s="1">
        <v>50</v>
      </c>
      <c r="J71" s="1">
        <v>25.000000000000007</v>
      </c>
      <c r="K71" s="1">
        <v>65.999999999999972</v>
      </c>
      <c r="L71" s="1">
        <v>1364.9999999999995</v>
      </c>
      <c r="M71" s="1">
        <v>3327.0000000000009</v>
      </c>
      <c r="N71" s="1">
        <v>149.00000000000003</v>
      </c>
      <c r="O71" s="1">
        <v>77</v>
      </c>
      <c r="P71" s="1">
        <v>69.000000000000028</v>
      </c>
      <c r="Q71" s="1">
        <v>710.00000000000011</v>
      </c>
      <c r="R71" s="1">
        <v>3576</v>
      </c>
      <c r="S71" s="1">
        <v>2101.9999999999991</v>
      </c>
      <c r="T71" s="19">
        <v>311</v>
      </c>
      <c r="U71" s="19">
        <v>70.999999999999986</v>
      </c>
      <c r="V71" s="1">
        <v>10760</v>
      </c>
      <c r="W71" s="3">
        <v>44.310834740353343</v>
      </c>
      <c r="X71" s="39"/>
      <c r="Z71" s="1"/>
    </row>
    <row r="72" spans="1:26" x14ac:dyDescent="0.25">
      <c r="A72" s="2" t="s">
        <v>380</v>
      </c>
      <c r="B72" s="1">
        <v>42</v>
      </c>
      <c r="C72" s="1">
        <v>19476</v>
      </c>
      <c r="D72" s="1">
        <f t="shared" si="14"/>
        <v>11011.000000000004</v>
      </c>
      <c r="E72" s="3">
        <f t="shared" si="4"/>
        <v>56.536249743273792</v>
      </c>
      <c r="F72" s="1">
        <f t="shared" si="15"/>
        <v>10804.000000000004</v>
      </c>
      <c r="G72" s="1">
        <v>33</v>
      </c>
      <c r="H72" s="1">
        <v>1556.9999999999995</v>
      </c>
      <c r="I72" s="1">
        <v>27.999999999999993</v>
      </c>
      <c r="J72" s="1">
        <v>17</v>
      </c>
      <c r="K72" s="1">
        <v>75</v>
      </c>
      <c r="L72" s="1">
        <v>1170.0000000000002</v>
      </c>
      <c r="M72" s="1">
        <v>2330.9999999999995</v>
      </c>
      <c r="N72" s="1">
        <v>79.999999999999986</v>
      </c>
      <c r="O72" s="1">
        <v>47</v>
      </c>
      <c r="P72" s="1">
        <v>69.000000000000014</v>
      </c>
      <c r="Q72" s="1">
        <v>422.99999999999989</v>
      </c>
      <c r="R72" s="1">
        <v>3667.0000000000014</v>
      </c>
      <c r="S72" s="1">
        <v>1307.0000000000009</v>
      </c>
      <c r="T72" s="19">
        <v>175.99999999999989</v>
      </c>
      <c r="U72" s="19">
        <v>30.999999999999993</v>
      </c>
      <c r="V72" s="1">
        <v>8464.9999999999964</v>
      </c>
      <c r="W72" s="3">
        <v>43.463750256726208</v>
      </c>
      <c r="X72" s="39"/>
      <c r="Z72" s="1"/>
    </row>
    <row r="73" spans="1:26" x14ac:dyDescent="0.25">
      <c r="A73" s="2" t="s">
        <v>381</v>
      </c>
      <c r="B73" s="1">
        <v>39</v>
      </c>
      <c r="C73" s="1">
        <v>13609.999999999995</v>
      </c>
      <c r="D73" s="1">
        <f t="shared" si="14"/>
        <v>8242</v>
      </c>
      <c r="E73" s="3">
        <f t="shared" si="4"/>
        <v>60.558412931667917</v>
      </c>
      <c r="F73" s="1">
        <f t="shared" si="15"/>
        <v>8062</v>
      </c>
      <c r="G73" s="1">
        <v>27.000000000000004</v>
      </c>
      <c r="H73" s="1">
        <v>1156</v>
      </c>
      <c r="I73" s="1">
        <v>65</v>
      </c>
      <c r="J73" s="1">
        <v>11.999999999999998</v>
      </c>
      <c r="K73" s="1">
        <v>51.000000000000021</v>
      </c>
      <c r="L73" s="1">
        <v>984.99999999999977</v>
      </c>
      <c r="M73" s="1">
        <v>1934</v>
      </c>
      <c r="N73" s="1">
        <v>127</v>
      </c>
      <c r="O73" s="1">
        <v>25.999999999999993</v>
      </c>
      <c r="P73" s="1">
        <v>49.999999999999993</v>
      </c>
      <c r="Q73" s="1">
        <v>444.99999999999989</v>
      </c>
      <c r="R73" s="1">
        <v>1920.0000000000005</v>
      </c>
      <c r="S73" s="1">
        <v>1264</v>
      </c>
      <c r="T73" s="19">
        <v>150.00000000000003</v>
      </c>
      <c r="U73" s="19">
        <v>30</v>
      </c>
      <c r="V73" s="1">
        <v>5368.0000000000009</v>
      </c>
      <c r="W73" s="3">
        <v>39.441587068332126</v>
      </c>
      <c r="X73" s="39"/>
      <c r="Z73" s="1"/>
    </row>
    <row r="74" spans="1:26" x14ac:dyDescent="0.25">
      <c r="A74" s="2" t="s">
        <v>382</v>
      </c>
      <c r="B74" s="1">
        <v>38</v>
      </c>
      <c r="C74" s="1">
        <v>15048.999999999998</v>
      </c>
      <c r="D74" s="1">
        <f t="shared" si="14"/>
        <v>10136</v>
      </c>
      <c r="E74" s="3">
        <f t="shared" si="4"/>
        <v>67.353312512459311</v>
      </c>
      <c r="F74" s="1">
        <f t="shared" si="15"/>
        <v>10032</v>
      </c>
      <c r="G74" s="1">
        <v>25.000000000000007</v>
      </c>
      <c r="H74" s="1">
        <v>1936.0000000000005</v>
      </c>
      <c r="I74" s="1">
        <v>20.999999999999996</v>
      </c>
      <c r="J74" s="1">
        <v>11</v>
      </c>
      <c r="K74" s="1">
        <v>30.000000000000004</v>
      </c>
      <c r="L74" s="1">
        <v>660.99999999999989</v>
      </c>
      <c r="M74" s="1">
        <v>2207</v>
      </c>
      <c r="N74" s="1">
        <v>63.000000000000007</v>
      </c>
      <c r="O74" s="1">
        <v>51.000000000000007</v>
      </c>
      <c r="P74" s="1">
        <v>48.999999999999993</v>
      </c>
      <c r="Q74" s="1">
        <v>692.99999999999989</v>
      </c>
      <c r="R74" s="1">
        <v>2522.0000000000005</v>
      </c>
      <c r="S74" s="1">
        <v>1763.0000000000005</v>
      </c>
      <c r="T74" s="19">
        <v>88</v>
      </c>
      <c r="U74" s="19">
        <v>16</v>
      </c>
      <c r="V74" s="1">
        <v>4913.0000000000009</v>
      </c>
      <c r="W74" s="3">
        <v>32.64668748754071</v>
      </c>
      <c r="X74" s="39"/>
      <c r="Z74" s="1"/>
    </row>
    <row r="75" spans="1:26" x14ac:dyDescent="0.25">
      <c r="A75" s="2" t="s">
        <v>383</v>
      </c>
      <c r="B75" s="1">
        <v>30</v>
      </c>
      <c r="C75" s="1">
        <v>8464</v>
      </c>
      <c r="D75" s="1">
        <f t="shared" si="14"/>
        <v>5574.9999999999991</v>
      </c>
      <c r="E75" s="3">
        <f t="shared" ref="E75:E96" si="16">D75/C75*100</f>
        <v>65.867202268430987</v>
      </c>
      <c r="F75" s="1">
        <f t="shared" si="15"/>
        <v>5431.9999999999991</v>
      </c>
      <c r="G75" s="1">
        <v>21.000000000000004</v>
      </c>
      <c r="H75" s="1">
        <v>897.99999999999966</v>
      </c>
      <c r="I75" s="1">
        <v>18</v>
      </c>
      <c r="J75" s="1">
        <v>9.0000000000000018</v>
      </c>
      <c r="K75" s="1">
        <v>38.999999999999993</v>
      </c>
      <c r="L75" s="1">
        <v>578.99999999999989</v>
      </c>
      <c r="M75" s="1">
        <v>1330</v>
      </c>
      <c r="N75" s="1">
        <v>106.00000000000001</v>
      </c>
      <c r="O75" s="1">
        <v>48</v>
      </c>
      <c r="P75" s="1">
        <v>47.000000000000007</v>
      </c>
      <c r="Q75" s="1">
        <v>325.99999999999994</v>
      </c>
      <c r="R75" s="1">
        <v>1389.9999999999995</v>
      </c>
      <c r="S75" s="1">
        <v>621</v>
      </c>
      <c r="T75" s="19">
        <v>110</v>
      </c>
      <c r="U75" s="19">
        <v>33</v>
      </c>
      <c r="V75" s="1">
        <v>2889.0000000000005</v>
      </c>
      <c r="W75" s="3">
        <v>34.132797731569006</v>
      </c>
      <c r="X75" s="39"/>
      <c r="Z75" s="1"/>
    </row>
    <row r="76" spans="1:26" x14ac:dyDescent="0.25">
      <c r="A76" s="2" t="s">
        <v>384</v>
      </c>
      <c r="B76" s="1">
        <v>32</v>
      </c>
      <c r="C76" s="1">
        <v>13023</v>
      </c>
      <c r="D76" s="1">
        <f t="shared" si="14"/>
        <v>6744</v>
      </c>
      <c r="E76" s="3">
        <f t="shared" si="16"/>
        <v>51.785302925593179</v>
      </c>
      <c r="F76" s="1">
        <f t="shared" si="15"/>
        <v>6589</v>
      </c>
      <c r="G76" s="1">
        <v>10.999999999999998</v>
      </c>
      <c r="H76" s="1">
        <v>713</v>
      </c>
      <c r="I76" s="1">
        <v>14</v>
      </c>
      <c r="J76" s="1">
        <v>13</v>
      </c>
      <c r="K76" s="1">
        <v>20</v>
      </c>
      <c r="L76" s="1">
        <v>638</v>
      </c>
      <c r="M76" s="1">
        <v>1617.0000000000002</v>
      </c>
      <c r="N76" s="1">
        <v>43.999999999999986</v>
      </c>
      <c r="O76" s="1">
        <v>21.999999999999996</v>
      </c>
      <c r="P76" s="1">
        <v>38</v>
      </c>
      <c r="Q76" s="1">
        <v>141.99999999999994</v>
      </c>
      <c r="R76" s="1">
        <v>2221</v>
      </c>
      <c r="S76" s="1">
        <v>1096.0000000000002</v>
      </c>
      <c r="T76" s="19">
        <v>116.00000000000001</v>
      </c>
      <c r="U76" s="19">
        <v>39.000000000000014</v>
      </c>
      <c r="V76" s="1">
        <v>6279</v>
      </c>
      <c r="W76" s="3">
        <v>48.214697074406821</v>
      </c>
      <c r="X76" s="39"/>
      <c r="Z76" s="1"/>
    </row>
    <row r="77" spans="1:26" x14ac:dyDescent="0.25">
      <c r="A77" s="2" t="s">
        <v>385</v>
      </c>
      <c r="B77" s="1">
        <v>19</v>
      </c>
      <c r="C77" s="1">
        <v>6013.9999999999991</v>
      </c>
      <c r="D77" s="1">
        <f t="shared" si="14"/>
        <v>4048</v>
      </c>
      <c r="E77" s="3">
        <f t="shared" si="16"/>
        <v>67.30961090788162</v>
      </c>
      <c r="F77" s="1">
        <f t="shared" si="15"/>
        <v>3969</v>
      </c>
      <c r="G77" s="1">
        <v>7.0000000000000009</v>
      </c>
      <c r="H77" s="1">
        <v>807</v>
      </c>
      <c r="I77" s="1">
        <v>4</v>
      </c>
      <c r="J77" s="1">
        <v>5</v>
      </c>
      <c r="K77" s="1">
        <v>9</v>
      </c>
      <c r="L77" s="1">
        <v>496.00000000000006</v>
      </c>
      <c r="M77" s="1">
        <v>1150.0000000000002</v>
      </c>
      <c r="N77" s="1">
        <v>59</v>
      </c>
      <c r="O77" s="1">
        <v>11</v>
      </c>
      <c r="P77" s="1">
        <v>22</v>
      </c>
      <c r="Q77" s="1">
        <v>140</v>
      </c>
      <c r="R77" s="1">
        <v>668.00000000000011</v>
      </c>
      <c r="S77" s="1">
        <v>591.00000000000011</v>
      </c>
      <c r="T77" s="19">
        <v>59</v>
      </c>
      <c r="U77" s="19">
        <v>20.000000000000004</v>
      </c>
      <c r="V77" s="1">
        <v>1966.0000000000002</v>
      </c>
      <c r="W77" s="3">
        <v>32.690389092118401</v>
      </c>
      <c r="X77" s="39"/>
      <c r="Z77" s="1"/>
    </row>
    <row r="78" spans="1:26" ht="24.9" customHeight="1" x14ac:dyDescent="0.25">
      <c r="A78" s="38" t="s">
        <v>386</v>
      </c>
      <c r="B78" s="17">
        <f>SUM(B79:B89)</f>
        <v>716</v>
      </c>
      <c r="C78" s="17">
        <f>SUM(C79:C89)</f>
        <v>310662</v>
      </c>
      <c r="D78" s="17">
        <f t="shared" ref="D78:V78" si="17">SUM(D79:D89)</f>
        <v>172338</v>
      </c>
      <c r="E78" s="15">
        <f t="shared" si="16"/>
        <v>55.474438457230043</v>
      </c>
      <c r="F78" s="17">
        <f t="shared" si="17"/>
        <v>169076</v>
      </c>
      <c r="G78" s="17">
        <f t="shared" si="17"/>
        <v>655</v>
      </c>
      <c r="H78" s="17">
        <f t="shared" si="17"/>
        <v>20330</v>
      </c>
      <c r="I78" s="17">
        <f t="shared" si="17"/>
        <v>607</v>
      </c>
      <c r="J78" s="17">
        <f t="shared" si="17"/>
        <v>324.00000000000006</v>
      </c>
      <c r="K78" s="17">
        <f t="shared" si="17"/>
        <v>1346.9999999999998</v>
      </c>
      <c r="L78" s="17">
        <f t="shared" si="17"/>
        <v>19461.999999999993</v>
      </c>
      <c r="M78" s="17">
        <f t="shared" si="17"/>
        <v>31280</v>
      </c>
      <c r="N78" s="17">
        <f t="shared" si="17"/>
        <v>1805.0000000000002</v>
      </c>
      <c r="O78" s="17">
        <f t="shared" si="17"/>
        <v>947.00000000000011</v>
      </c>
      <c r="P78" s="17">
        <f t="shared" si="17"/>
        <v>954</v>
      </c>
      <c r="Q78" s="17">
        <f t="shared" si="17"/>
        <v>8201.9999999999982</v>
      </c>
      <c r="R78" s="17">
        <f t="shared" si="17"/>
        <v>60096</v>
      </c>
      <c r="S78" s="17">
        <f t="shared" si="17"/>
        <v>23067</v>
      </c>
      <c r="T78" s="17">
        <f t="shared" si="17"/>
        <v>2659</v>
      </c>
      <c r="U78" s="17">
        <f t="shared" si="17"/>
        <v>603</v>
      </c>
      <c r="V78" s="17">
        <f t="shared" si="17"/>
        <v>138324</v>
      </c>
      <c r="W78" s="15">
        <v>44.525561542769957</v>
      </c>
      <c r="X78" s="39"/>
      <c r="Z78" s="17"/>
    </row>
    <row r="79" spans="1:26" x14ac:dyDescent="0.25">
      <c r="A79" s="18" t="s">
        <v>295</v>
      </c>
      <c r="B79" s="1">
        <v>194</v>
      </c>
      <c r="C79" s="1">
        <v>86571.000000000029</v>
      </c>
      <c r="D79" s="1">
        <f t="shared" ref="D79:D89" si="18">F79+U79+T79</f>
        <v>49356</v>
      </c>
      <c r="E79" s="3">
        <f t="shared" si="16"/>
        <v>57.012163426551595</v>
      </c>
      <c r="F79" s="1">
        <f t="shared" ref="F79:F89" si="19">SUM(G79:S79)</f>
        <v>48540</v>
      </c>
      <c r="G79" s="1">
        <v>156.99999999999997</v>
      </c>
      <c r="H79" s="1">
        <v>6519.0000000000009</v>
      </c>
      <c r="I79" s="1">
        <v>106.99999999999997</v>
      </c>
      <c r="J79" s="1">
        <v>92.000000000000043</v>
      </c>
      <c r="K79" s="1">
        <v>368.99999999999983</v>
      </c>
      <c r="L79" s="1">
        <v>6469.9999999999945</v>
      </c>
      <c r="M79" s="1">
        <v>8040.9999999999991</v>
      </c>
      <c r="N79" s="1">
        <v>399.00000000000011</v>
      </c>
      <c r="O79" s="1">
        <v>312.00000000000011</v>
      </c>
      <c r="P79" s="1">
        <v>249.99999999999994</v>
      </c>
      <c r="Q79" s="1">
        <v>2814.9999999999986</v>
      </c>
      <c r="R79" s="1">
        <v>15979.000000000002</v>
      </c>
      <c r="S79" s="1">
        <v>7029.9999999999982</v>
      </c>
      <c r="T79" s="19">
        <v>670.99999999999977</v>
      </c>
      <c r="U79" s="19">
        <v>145.00000000000006</v>
      </c>
      <c r="V79" s="1">
        <v>37215</v>
      </c>
      <c r="W79" s="3">
        <v>42.987836573448369</v>
      </c>
      <c r="X79" s="39"/>
      <c r="Z79" s="1"/>
    </row>
    <row r="80" spans="1:26" x14ac:dyDescent="0.25">
      <c r="A80" s="18" t="s">
        <v>387</v>
      </c>
      <c r="B80" s="1">
        <v>48</v>
      </c>
      <c r="C80" s="1">
        <v>22597.999999999996</v>
      </c>
      <c r="D80" s="1">
        <f t="shared" si="18"/>
        <v>14833</v>
      </c>
      <c r="E80" s="3">
        <f t="shared" si="16"/>
        <v>65.638552084255252</v>
      </c>
      <c r="F80" s="1">
        <f t="shared" si="19"/>
        <v>14673</v>
      </c>
      <c r="G80" s="1">
        <v>28.999999999999986</v>
      </c>
      <c r="H80" s="1">
        <v>2140</v>
      </c>
      <c r="I80" s="1">
        <v>38.999999999999993</v>
      </c>
      <c r="J80" s="1">
        <v>19.000000000000007</v>
      </c>
      <c r="K80" s="1">
        <v>105</v>
      </c>
      <c r="L80" s="1">
        <v>1409.0000000000005</v>
      </c>
      <c r="M80" s="1">
        <v>2984.9999999999991</v>
      </c>
      <c r="N80" s="1">
        <v>114.00000000000003</v>
      </c>
      <c r="O80" s="1">
        <v>84.000000000000028</v>
      </c>
      <c r="P80" s="1">
        <v>47.000000000000007</v>
      </c>
      <c r="Q80" s="1">
        <v>1052</v>
      </c>
      <c r="R80" s="1">
        <v>4470</v>
      </c>
      <c r="S80" s="1">
        <v>2180</v>
      </c>
      <c r="T80" s="19">
        <v>128</v>
      </c>
      <c r="U80" s="19">
        <v>31.999999999999993</v>
      </c>
      <c r="V80" s="1">
        <v>7765</v>
      </c>
      <c r="W80" s="3">
        <v>34.361447915744762</v>
      </c>
      <c r="X80" s="39"/>
      <c r="Z80" s="1"/>
    </row>
    <row r="81" spans="1:26" x14ac:dyDescent="0.25">
      <c r="A81" s="18" t="s">
        <v>388</v>
      </c>
      <c r="B81" s="1">
        <v>79</v>
      </c>
      <c r="C81" s="1">
        <v>31975</v>
      </c>
      <c r="D81" s="1">
        <f t="shared" si="18"/>
        <v>16842.999999999996</v>
      </c>
      <c r="E81" s="3">
        <f t="shared" si="16"/>
        <v>52.675527756059417</v>
      </c>
      <c r="F81" s="1">
        <f t="shared" si="19"/>
        <v>16457.999999999996</v>
      </c>
      <c r="G81" s="1">
        <v>59</v>
      </c>
      <c r="H81" s="1">
        <v>1530.0000000000002</v>
      </c>
      <c r="I81" s="1">
        <v>60.999999999999986</v>
      </c>
      <c r="J81" s="1">
        <v>35.999999999999993</v>
      </c>
      <c r="K81" s="1">
        <v>193.99999999999997</v>
      </c>
      <c r="L81" s="1">
        <v>2060</v>
      </c>
      <c r="M81" s="1">
        <v>3109.9999999999995</v>
      </c>
      <c r="N81" s="1">
        <v>236.00000000000011</v>
      </c>
      <c r="O81" s="1">
        <v>144.00000000000003</v>
      </c>
      <c r="P81" s="1">
        <v>169.00000000000006</v>
      </c>
      <c r="Q81" s="1">
        <v>764</v>
      </c>
      <c r="R81" s="1">
        <v>5982.9999999999964</v>
      </c>
      <c r="S81" s="1">
        <v>2112</v>
      </c>
      <c r="T81" s="19">
        <v>305</v>
      </c>
      <c r="U81" s="19">
        <v>80</v>
      </c>
      <c r="V81" s="1">
        <v>15132</v>
      </c>
      <c r="W81" s="3">
        <v>47.324472243940576</v>
      </c>
      <c r="X81" s="39"/>
      <c r="Z81" s="1"/>
    </row>
    <row r="82" spans="1:26" x14ac:dyDescent="0.25">
      <c r="A82" s="18" t="s">
        <v>389</v>
      </c>
      <c r="B82" s="1">
        <v>26</v>
      </c>
      <c r="C82" s="1">
        <v>10241</v>
      </c>
      <c r="D82" s="1">
        <f t="shared" si="18"/>
        <v>6817</v>
      </c>
      <c r="E82" s="3">
        <f t="shared" si="16"/>
        <v>66.565765062005667</v>
      </c>
      <c r="F82" s="1">
        <f t="shared" si="19"/>
        <v>6722</v>
      </c>
      <c r="G82" s="1">
        <v>19.000000000000004</v>
      </c>
      <c r="H82" s="1">
        <v>1211</v>
      </c>
      <c r="I82" s="1">
        <v>17</v>
      </c>
      <c r="J82" s="1">
        <v>9.0000000000000018</v>
      </c>
      <c r="K82" s="1">
        <v>37.999999999999993</v>
      </c>
      <c r="L82" s="1">
        <v>558</v>
      </c>
      <c r="M82" s="1">
        <v>1054</v>
      </c>
      <c r="N82" s="1">
        <v>54.000000000000007</v>
      </c>
      <c r="O82" s="1">
        <v>43.000000000000007</v>
      </c>
      <c r="P82" s="1">
        <v>36.000000000000007</v>
      </c>
      <c r="Q82" s="1">
        <v>224.00000000000003</v>
      </c>
      <c r="R82" s="1">
        <v>2441</v>
      </c>
      <c r="S82" s="1">
        <v>1017.9999999999998</v>
      </c>
      <c r="T82" s="19">
        <v>79</v>
      </c>
      <c r="U82" s="19">
        <v>16</v>
      </c>
      <c r="V82" s="1">
        <v>3423.9999999999995</v>
      </c>
      <c r="W82" s="3">
        <v>33.434234937994333</v>
      </c>
      <c r="X82" s="39"/>
      <c r="Z82" s="1"/>
    </row>
    <row r="83" spans="1:26" x14ac:dyDescent="0.25">
      <c r="A83" s="18" t="s">
        <v>390</v>
      </c>
      <c r="B83" s="1">
        <v>59</v>
      </c>
      <c r="C83" s="1">
        <v>22209.999999999993</v>
      </c>
      <c r="D83" s="1">
        <f t="shared" si="18"/>
        <v>11507</v>
      </c>
      <c r="E83" s="3">
        <f t="shared" si="16"/>
        <v>51.809995497523651</v>
      </c>
      <c r="F83" s="1">
        <f t="shared" si="19"/>
        <v>11236</v>
      </c>
      <c r="G83" s="1">
        <v>44</v>
      </c>
      <c r="H83" s="1">
        <v>1011.9999999999997</v>
      </c>
      <c r="I83" s="1">
        <v>67.999999999999986</v>
      </c>
      <c r="J83" s="1">
        <v>22</v>
      </c>
      <c r="K83" s="1">
        <v>133</v>
      </c>
      <c r="L83" s="1">
        <v>1396</v>
      </c>
      <c r="M83" s="1">
        <v>1973</v>
      </c>
      <c r="N83" s="1">
        <v>121.99999999999999</v>
      </c>
      <c r="O83" s="1">
        <v>61.000000000000007</v>
      </c>
      <c r="P83" s="1">
        <v>48</v>
      </c>
      <c r="Q83" s="1">
        <v>725</v>
      </c>
      <c r="R83" s="1">
        <v>4531.9999999999991</v>
      </c>
      <c r="S83" s="1">
        <v>1100</v>
      </c>
      <c r="T83" s="19">
        <v>234.99999999999994</v>
      </c>
      <c r="U83" s="19">
        <v>36</v>
      </c>
      <c r="V83" s="1">
        <v>10702.999999999998</v>
      </c>
      <c r="W83" s="3">
        <v>48.19000450247637</v>
      </c>
      <c r="X83" s="39"/>
      <c r="Z83" s="1"/>
    </row>
    <row r="84" spans="1:26" x14ac:dyDescent="0.25">
      <c r="A84" s="18" t="s">
        <v>391</v>
      </c>
      <c r="B84" s="1">
        <v>45</v>
      </c>
      <c r="C84" s="1">
        <v>19595</v>
      </c>
      <c r="D84" s="1">
        <f t="shared" si="18"/>
        <v>10684</v>
      </c>
      <c r="E84" s="3">
        <f t="shared" si="16"/>
        <v>54.524113294207709</v>
      </c>
      <c r="F84" s="1">
        <f t="shared" si="19"/>
        <v>10501</v>
      </c>
      <c r="G84" s="1">
        <v>56</v>
      </c>
      <c r="H84" s="1">
        <v>1166.0000000000002</v>
      </c>
      <c r="I84" s="1">
        <v>39</v>
      </c>
      <c r="J84" s="1">
        <v>16.999999999999996</v>
      </c>
      <c r="K84" s="1">
        <v>46.999999999999993</v>
      </c>
      <c r="L84" s="1">
        <v>1287</v>
      </c>
      <c r="M84" s="1">
        <v>1739</v>
      </c>
      <c r="N84" s="1">
        <v>109.99999999999999</v>
      </c>
      <c r="O84" s="1">
        <v>77.999999999999986</v>
      </c>
      <c r="P84" s="1">
        <v>58.000000000000021</v>
      </c>
      <c r="Q84" s="1">
        <v>457.00000000000011</v>
      </c>
      <c r="R84" s="1">
        <v>3948</v>
      </c>
      <c r="S84" s="1">
        <v>1499.0000000000002</v>
      </c>
      <c r="T84" s="19">
        <v>141.99999999999997</v>
      </c>
      <c r="U84" s="19">
        <v>41</v>
      </c>
      <c r="V84" s="1">
        <v>8911</v>
      </c>
      <c r="W84" s="3">
        <v>45.475886705792298</v>
      </c>
      <c r="X84" s="39"/>
      <c r="Z84" s="1"/>
    </row>
    <row r="85" spans="1:26" x14ac:dyDescent="0.25">
      <c r="A85" s="18" t="s">
        <v>392</v>
      </c>
      <c r="B85" s="1">
        <v>68</v>
      </c>
      <c r="C85" s="1">
        <v>29563</v>
      </c>
      <c r="D85" s="1">
        <f t="shared" si="18"/>
        <v>14768.000000000002</v>
      </c>
      <c r="E85" s="3">
        <f t="shared" si="16"/>
        <v>49.954334810404902</v>
      </c>
      <c r="F85" s="1">
        <f t="shared" si="19"/>
        <v>14426.000000000002</v>
      </c>
      <c r="G85" s="1">
        <v>80</v>
      </c>
      <c r="H85" s="1">
        <v>1590.0000000000007</v>
      </c>
      <c r="I85" s="1">
        <v>75.000000000000028</v>
      </c>
      <c r="J85" s="1">
        <v>32.000000000000007</v>
      </c>
      <c r="K85" s="1">
        <v>118.00000000000001</v>
      </c>
      <c r="L85" s="1">
        <v>1601.0000000000007</v>
      </c>
      <c r="M85" s="1">
        <v>2577.9999999999995</v>
      </c>
      <c r="N85" s="1">
        <v>159.99999999999997</v>
      </c>
      <c r="O85" s="1">
        <v>54.000000000000007</v>
      </c>
      <c r="P85" s="1">
        <v>100.00000000000003</v>
      </c>
      <c r="Q85" s="1">
        <v>665</v>
      </c>
      <c r="R85" s="1">
        <v>5681.0000000000009</v>
      </c>
      <c r="S85" s="1">
        <v>1692</v>
      </c>
      <c r="T85" s="19">
        <v>287</v>
      </c>
      <c r="U85" s="19">
        <v>55.000000000000014</v>
      </c>
      <c r="V85" s="1">
        <v>14794.999999999996</v>
      </c>
      <c r="W85" s="3">
        <v>50.045665189595091</v>
      </c>
      <c r="X85" s="39"/>
      <c r="Z85" s="1"/>
    </row>
    <row r="86" spans="1:26" x14ac:dyDescent="0.25">
      <c r="A86" s="18" t="s">
        <v>393</v>
      </c>
      <c r="B86" s="1">
        <v>71</v>
      </c>
      <c r="C86" s="1">
        <v>29923</v>
      </c>
      <c r="D86" s="1">
        <f t="shared" si="18"/>
        <v>16631</v>
      </c>
      <c r="E86" s="3">
        <f t="shared" si="16"/>
        <v>55.579320255321996</v>
      </c>
      <c r="F86" s="1">
        <f t="shared" si="19"/>
        <v>16271</v>
      </c>
      <c r="G86" s="1">
        <v>106.00000000000001</v>
      </c>
      <c r="H86" s="1">
        <v>2059.9999999999995</v>
      </c>
      <c r="I86" s="1">
        <v>81.999999999999957</v>
      </c>
      <c r="J86" s="1">
        <v>38</v>
      </c>
      <c r="K86" s="1">
        <v>95.999999999999986</v>
      </c>
      <c r="L86" s="1">
        <v>1432.9999999999998</v>
      </c>
      <c r="M86" s="1">
        <v>3524.0000000000005</v>
      </c>
      <c r="N86" s="1">
        <v>235.99999999999997</v>
      </c>
      <c r="O86" s="1">
        <v>71.000000000000014</v>
      </c>
      <c r="P86" s="1">
        <v>83.000000000000014</v>
      </c>
      <c r="Q86" s="1">
        <v>667</v>
      </c>
      <c r="R86" s="1">
        <v>5429</v>
      </c>
      <c r="S86" s="1">
        <v>2446</v>
      </c>
      <c r="T86" s="19">
        <v>281</v>
      </c>
      <c r="U86" s="19">
        <v>79.000000000000014</v>
      </c>
      <c r="V86" s="1">
        <v>13292.000000000002</v>
      </c>
      <c r="W86" s="3">
        <v>44.420679744678019</v>
      </c>
      <c r="X86" s="39"/>
      <c r="Z86" s="1"/>
    </row>
    <row r="87" spans="1:26" x14ac:dyDescent="0.25">
      <c r="A87" s="18" t="s">
        <v>394</v>
      </c>
      <c r="B87" s="1">
        <v>34</v>
      </c>
      <c r="C87" s="1">
        <v>12052</v>
      </c>
      <c r="D87" s="1">
        <f t="shared" si="18"/>
        <v>7044</v>
      </c>
      <c r="E87" s="3">
        <f t="shared" si="16"/>
        <v>58.446730833056762</v>
      </c>
      <c r="F87" s="1">
        <f t="shared" si="19"/>
        <v>6892</v>
      </c>
      <c r="G87" s="1">
        <v>19</v>
      </c>
      <c r="H87" s="1">
        <v>571.99999999999989</v>
      </c>
      <c r="I87" s="1">
        <v>14</v>
      </c>
      <c r="J87" s="1">
        <v>15.999999999999998</v>
      </c>
      <c r="K87" s="1">
        <v>32</v>
      </c>
      <c r="L87" s="1">
        <v>625</v>
      </c>
      <c r="M87" s="1">
        <v>1452.9999999999998</v>
      </c>
      <c r="N87" s="1">
        <v>103.00000000000001</v>
      </c>
      <c r="O87" s="1">
        <v>16</v>
      </c>
      <c r="P87" s="1">
        <v>25.000000000000007</v>
      </c>
      <c r="Q87" s="1">
        <v>221</v>
      </c>
      <c r="R87" s="1">
        <v>2718</v>
      </c>
      <c r="S87" s="1">
        <v>1078.0000000000002</v>
      </c>
      <c r="T87" s="19">
        <v>120</v>
      </c>
      <c r="U87" s="19">
        <v>32</v>
      </c>
      <c r="V87" s="1">
        <v>5008.0000000000009</v>
      </c>
      <c r="W87" s="3">
        <v>41.553269166943252</v>
      </c>
      <c r="X87" s="39"/>
      <c r="Z87" s="1"/>
    </row>
    <row r="88" spans="1:26" x14ac:dyDescent="0.25">
      <c r="A88" s="18" t="s">
        <v>395</v>
      </c>
      <c r="B88" s="1">
        <v>70</v>
      </c>
      <c r="C88" s="1">
        <v>34163</v>
      </c>
      <c r="D88" s="1">
        <f t="shared" si="18"/>
        <v>17731.000000000004</v>
      </c>
      <c r="E88" s="3">
        <f t="shared" si="16"/>
        <v>51.901179638790516</v>
      </c>
      <c r="F88" s="1">
        <f t="shared" si="19"/>
        <v>17312.000000000004</v>
      </c>
      <c r="G88" s="1">
        <v>70</v>
      </c>
      <c r="H88" s="1">
        <v>1716.0000000000002</v>
      </c>
      <c r="I88" s="1">
        <v>95.000000000000014</v>
      </c>
      <c r="J88" s="1">
        <v>32</v>
      </c>
      <c r="K88" s="1">
        <v>174.99999999999994</v>
      </c>
      <c r="L88" s="1">
        <v>1728</v>
      </c>
      <c r="M88" s="1">
        <v>3360</v>
      </c>
      <c r="N88" s="1">
        <v>177.99999999999997</v>
      </c>
      <c r="O88" s="1">
        <v>62.000000000000014</v>
      </c>
      <c r="P88" s="1">
        <v>101</v>
      </c>
      <c r="Q88" s="1">
        <v>445.00000000000023</v>
      </c>
      <c r="R88" s="1">
        <v>7499.0000000000036</v>
      </c>
      <c r="S88" s="1">
        <v>1851.0000000000005</v>
      </c>
      <c r="T88" s="19">
        <v>343.99999999999994</v>
      </c>
      <c r="U88" s="19">
        <v>74.999999999999986</v>
      </c>
      <c r="V88" s="1">
        <v>16432</v>
      </c>
      <c r="W88" s="3">
        <v>48.098820361209491</v>
      </c>
      <c r="X88" s="39"/>
      <c r="Z88" s="1"/>
    </row>
    <row r="89" spans="1:26" x14ac:dyDescent="0.25">
      <c r="A89" s="18" t="s">
        <v>396</v>
      </c>
      <c r="B89" s="1">
        <v>22</v>
      </c>
      <c r="C89" s="1">
        <v>11771</v>
      </c>
      <c r="D89" s="1">
        <f t="shared" si="18"/>
        <v>6124</v>
      </c>
      <c r="E89" s="3">
        <f t="shared" si="16"/>
        <v>52.026166001189367</v>
      </c>
      <c r="F89" s="1">
        <f t="shared" si="19"/>
        <v>6045</v>
      </c>
      <c r="G89" s="1">
        <v>15.999999999999998</v>
      </c>
      <c r="H89" s="1">
        <v>813.99999999999966</v>
      </c>
      <c r="I89" s="1">
        <v>10</v>
      </c>
      <c r="J89" s="1">
        <v>10.999999999999998</v>
      </c>
      <c r="K89" s="1">
        <v>40</v>
      </c>
      <c r="L89" s="1">
        <v>895</v>
      </c>
      <c r="M89" s="1">
        <v>1463</v>
      </c>
      <c r="N89" s="1">
        <v>93</v>
      </c>
      <c r="O89" s="1">
        <v>22.000000000000004</v>
      </c>
      <c r="P89" s="1">
        <v>37</v>
      </c>
      <c r="Q89" s="1">
        <v>167</v>
      </c>
      <c r="R89" s="1">
        <v>1416.0000000000002</v>
      </c>
      <c r="S89" s="1">
        <v>1061.0000000000002</v>
      </c>
      <c r="T89" s="19">
        <v>67.000000000000014</v>
      </c>
      <c r="U89" s="19">
        <v>12</v>
      </c>
      <c r="V89" s="1">
        <v>5647</v>
      </c>
      <c r="W89" s="3">
        <v>47.97383399881064</v>
      </c>
      <c r="X89" s="39"/>
      <c r="Z89" s="1"/>
    </row>
    <row r="90" spans="1:26" ht="24.9" customHeight="1" x14ac:dyDescent="0.25">
      <c r="A90" s="38" t="s">
        <v>397</v>
      </c>
      <c r="B90" s="17">
        <f>SUM(B91:B96)</f>
        <v>550</v>
      </c>
      <c r="C90" s="17">
        <f>SUM(C91:C96)</f>
        <v>272632.99999999994</v>
      </c>
      <c r="D90" s="17">
        <f>SUM(D91:D96)</f>
        <v>155574</v>
      </c>
      <c r="E90" s="15">
        <f t="shared" si="16"/>
        <v>57.063524958460654</v>
      </c>
      <c r="F90" s="17">
        <f t="shared" ref="F90:V90" si="20">SUM(F91:F96)</f>
        <v>151987</v>
      </c>
      <c r="G90" s="17">
        <f t="shared" si="20"/>
        <v>989</v>
      </c>
      <c r="H90" s="17">
        <f t="shared" si="20"/>
        <v>16050.000000000004</v>
      </c>
      <c r="I90" s="17">
        <f t="shared" si="20"/>
        <v>1003.0000000000001</v>
      </c>
      <c r="J90" s="17">
        <f t="shared" si="20"/>
        <v>453.00000000000006</v>
      </c>
      <c r="K90" s="17">
        <f t="shared" si="20"/>
        <v>1434.0000000000005</v>
      </c>
      <c r="L90" s="17">
        <f t="shared" si="20"/>
        <v>15810</v>
      </c>
      <c r="M90" s="17">
        <f t="shared" si="20"/>
        <v>26684</v>
      </c>
      <c r="N90" s="17">
        <f t="shared" si="20"/>
        <v>1963.0000000000005</v>
      </c>
      <c r="O90" s="17">
        <f t="shared" si="20"/>
        <v>657</v>
      </c>
      <c r="P90" s="17">
        <f t="shared" si="20"/>
        <v>1215.0000000000002</v>
      </c>
      <c r="Q90" s="17">
        <f t="shared" si="20"/>
        <v>6978</v>
      </c>
      <c r="R90" s="17">
        <f t="shared" si="20"/>
        <v>64710.000000000007</v>
      </c>
      <c r="S90" s="17">
        <f t="shared" si="20"/>
        <v>14040.999999999995</v>
      </c>
      <c r="T90" s="17">
        <f t="shared" si="20"/>
        <v>2818</v>
      </c>
      <c r="U90" s="17">
        <f t="shared" si="20"/>
        <v>769</v>
      </c>
      <c r="V90" s="17">
        <f t="shared" si="20"/>
        <v>117059</v>
      </c>
      <c r="W90" s="15">
        <v>42.936475041539367</v>
      </c>
      <c r="X90" s="39"/>
      <c r="Z90" s="17"/>
    </row>
    <row r="91" spans="1:26" x14ac:dyDescent="0.25">
      <c r="A91" s="21" t="s">
        <v>405</v>
      </c>
      <c r="B91" s="40">
        <v>138</v>
      </c>
      <c r="C91" s="40">
        <v>68866.000000000015</v>
      </c>
      <c r="D91" s="40">
        <f t="shared" ref="D91:D97" si="21">F91+U91+T91</f>
        <v>37241</v>
      </c>
      <c r="E91" s="41">
        <v>54</v>
      </c>
      <c r="F91" s="40">
        <f t="shared" ref="F91:F97" si="22">SUM(G91:S91)</f>
        <v>36258</v>
      </c>
      <c r="G91" s="1">
        <v>225.00000000000006</v>
      </c>
      <c r="H91" s="1">
        <v>3277</v>
      </c>
      <c r="I91" s="1">
        <v>274.00000000000006</v>
      </c>
      <c r="J91" s="1">
        <v>97.000000000000014</v>
      </c>
      <c r="K91" s="1">
        <v>266</v>
      </c>
      <c r="L91" s="1">
        <v>4336.0000000000009</v>
      </c>
      <c r="M91" s="1">
        <v>5553.0000000000018</v>
      </c>
      <c r="N91" s="1">
        <v>357.00000000000006</v>
      </c>
      <c r="O91" s="1">
        <v>162.00000000000006</v>
      </c>
      <c r="P91" s="1">
        <v>335</v>
      </c>
      <c r="Q91" s="1">
        <v>1942.9999999999995</v>
      </c>
      <c r="R91" s="1">
        <v>15704.000000000004</v>
      </c>
      <c r="S91" s="1">
        <v>3728.9999999999982</v>
      </c>
      <c r="T91" s="19">
        <v>735.99999999999989</v>
      </c>
      <c r="U91" s="19">
        <v>247</v>
      </c>
      <c r="V91" s="1">
        <v>31625.000000000004</v>
      </c>
      <c r="W91" s="3">
        <v>46</v>
      </c>
      <c r="X91" s="39"/>
      <c r="Y91" s="39"/>
      <c r="Z91" s="1"/>
    </row>
    <row r="92" spans="1:26" x14ac:dyDescent="0.25">
      <c r="A92" s="21" t="s">
        <v>406</v>
      </c>
      <c r="B92" s="40">
        <v>180</v>
      </c>
      <c r="C92" s="40">
        <v>92003.999999999942</v>
      </c>
      <c r="D92" s="40">
        <f t="shared" si="21"/>
        <v>55843</v>
      </c>
      <c r="E92" s="41">
        <v>60.8</v>
      </c>
      <c r="F92" s="40">
        <f t="shared" si="22"/>
        <v>54788</v>
      </c>
      <c r="G92" s="1">
        <v>422.99999999999994</v>
      </c>
      <c r="H92" s="1">
        <v>7438.0000000000027</v>
      </c>
      <c r="I92" s="1">
        <v>317.00000000000006</v>
      </c>
      <c r="J92" s="1">
        <v>200.00000000000006</v>
      </c>
      <c r="K92" s="1">
        <v>381.00000000000017</v>
      </c>
      <c r="L92" s="1">
        <v>6829</v>
      </c>
      <c r="M92" s="1">
        <v>9585.9999999999982</v>
      </c>
      <c r="N92" s="1">
        <v>884.00000000000034</v>
      </c>
      <c r="O92" s="1">
        <v>266.99999999999994</v>
      </c>
      <c r="P92" s="1">
        <v>382.00000000000034</v>
      </c>
      <c r="Q92" s="1">
        <v>1785.0000000000005</v>
      </c>
      <c r="R92" s="1">
        <v>21662.000000000004</v>
      </c>
      <c r="S92" s="1">
        <v>4633.9999999999964</v>
      </c>
      <c r="T92" s="19">
        <v>881.00000000000011</v>
      </c>
      <c r="U92" s="19">
        <v>174.00000000000006</v>
      </c>
      <c r="V92" s="1">
        <v>36160.999999999993</v>
      </c>
      <c r="W92" s="3">
        <v>39.200000000000003</v>
      </c>
      <c r="X92" s="39"/>
      <c r="Y92" s="39"/>
      <c r="Z92" s="1"/>
    </row>
    <row r="93" spans="1:26" x14ac:dyDescent="0.25">
      <c r="A93" s="2" t="s">
        <v>398</v>
      </c>
      <c r="B93" s="1">
        <v>86</v>
      </c>
      <c r="C93" s="1">
        <v>40171</v>
      </c>
      <c r="D93" s="1">
        <f t="shared" si="21"/>
        <v>23059</v>
      </c>
      <c r="E93" s="3">
        <f t="shared" si="16"/>
        <v>57.402105996863405</v>
      </c>
      <c r="F93" s="1">
        <f t="shared" si="22"/>
        <v>22557</v>
      </c>
      <c r="G93" s="1">
        <v>141.00000000000003</v>
      </c>
      <c r="H93" s="1">
        <v>2029.9999999999998</v>
      </c>
      <c r="I93" s="1">
        <v>102.00000000000001</v>
      </c>
      <c r="J93" s="1">
        <v>56.999999999999986</v>
      </c>
      <c r="K93" s="1">
        <v>274.00000000000017</v>
      </c>
      <c r="L93" s="1">
        <v>1737.0000000000005</v>
      </c>
      <c r="M93" s="1">
        <v>4460</v>
      </c>
      <c r="N93" s="1">
        <v>302.00000000000006</v>
      </c>
      <c r="O93" s="1">
        <v>95.000000000000028</v>
      </c>
      <c r="P93" s="1">
        <v>201.99999999999997</v>
      </c>
      <c r="Q93" s="1">
        <v>963.00000000000045</v>
      </c>
      <c r="R93" s="1">
        <v>10253.000000000002</v>
      </c>
      <c r="S93" s="1">
        <v>1940.9999999999995</v>
      </c>
      <c r="T93" s="19">
        <v>394.99999999999994</v>
      </c>
      <c r="U93" s="19">
        <v>106.99999999999999</v>
      </c>
      <c r="V93" s="1">
        <v>17112.000000000004</v>
      </c>
      <c r="W93" s="3">
        <v>42.597894003136602</v>
      </c>
      <c r="X93" s="39"/>
      <c r="Z93" s="1"/>
    </row>
    <row r="94" spans="1:26" x14ac:dyDescent="0.25">
      <c r="A94" s="2" t="s">
        <v>399</v>
      </c>
      <c r="B94" s="1">
        <v>46</v>
      </c>
      <c r="C94" s="1">
        <v>20870</v>
      </c>
      <c r="D94" s="1">
        <f t="shared" si="21"/>
        <v>10518.000000000002</v>
      </c>
      <c r="E94" s="3">
        <f t="shared" si="16"/>
        <v>50.39770004791567</v>
      </c>
      <c r="F94" s="1">
        <f t="shared" si="22"/>
        <v>10193.000000000002</v>
      </c>
      <c r="G94" s="1">
        <v>30</v>
      </c>
      <c r="H94" s="1">
        <v>872.00000000000023</v>
      </c>
      <c r="I94" s="1">
        <v>69.999999999999986</v>
      </c>
      <c r="J94" s="1">
        <v>25.999999999999996</v>
      </c>
      <c r="K94" s="1">
        <v>267.99999999999994</v>
      </c>
      <c r="L94" s="1">
        <v>724.00000000000011</v>
      </c>
      <c r="M94" s="1">
        <v>1614.0000000000005</v>
      </c>
      <c r="N94" s="1">
        <v>77.999999999999986</v>
      </c>
      <c r="O94" s="1">
        <v>38.000000000000007</v>
      </c>
      <c r="P94" s="1">
        <v>92.000000000000014</v>
      </c>
      <c r="Q94" s="1">
        <v>1259</v>
      </c>
      <c r="R94" s="1">
        <v>3662.0000000000005</v>
      </c>
      <c r="S94" s="1">
        <v>1460</v>
      </c>
      <c r="T94" s="19">
        <v>217.99999999999994</v>
      </c>
      <c r="U94" s="19">
        <v>107</v>
      </c>
      <c r="V94" s="1">
        <v>10352</v>
      </c>
      <c r="W94" s="3">
        <v>49.60229995208433</v>
      </c>
      <c r="X94" s="39"/>
      <c r="Z94" s="1"/>
    </row>
    <row r="95" spans="1:26" x14ac:dyDescent="0.25">
      <c r="A95" s="2" t="s">
        <v>400</v>
      </c>
      <c r="B95" s="1">
        <v>44</v>
      </c>
      <c r="C95" s="1">
        <v>21862</v>
      </c>
      <c r="D95" s="1">
        <f t="shared" si="21"/>
        <v>11890</v>
      </c>
      <c r="E95" s="3">
        <f t="shared" si="16"/>
        <v>54.386606897813564</v>
      </c>
      <c r="F95" s="1">
        <f t="shared" si="22"/>
        <v>11591</v>
      </c>
      <c r="G95" s="1">
        <v>56.000000000000007</v>
      </c>
      <c r="H95" s="1">
        <v>731</v>
      </c>
      <c r="I95" s="1">
        <v>76</v>
      </c>
      <c r="J95" s="1">
        <v>34.999999999999993</v>
      </c>
      <c r="K95" s="1">
        <v>94.000000000000014</v>
      </c>
      <c r="L95" s="1">
        <v>771</v>
      </c>
      <c r="M95" s="1">
        <v>2246</v>
      </c>
      <c r="N95" s="1">
        <v>121.99999999999994</v>
      </c>
      <c r="O95" s="1">
        <v>28</v>
      </c>
      <c r="P95" s="1">
        <v>66.999999999999972</v>
      </c>
      <c r="Q95" s="1">
        <v>423.00000000000006</v>
      </c>
      <c r="R95" s="1">
        <v>5839.0000000000009</v>
      </c>
      <c r="S95" s="1">
        <v>1102.9999999999995</v>
      </c>
      <c r="T95" s="19">
        <v>231.00000000000003</v>
      </c>
      <c r="U95" s="19">
        <v>68.000000000000014</v>
      </c>
      <c r="V95" s="1">
        <v>9972</v>
      </c>
      <c r="W95" s="3">
        <v>45.613393102186443</v>
      </c>
      <c r="X95" s="39"/>
      <c r="Z95" s="1"/>
    </row>
    <row r="96" spans="1:26" x14ac:dyDescent="0.25">
      <c r="A96" s="2" t="s">
        <v>401</v>
      </c>
      <c r="B96" s="1">
        <v>56</v>
      </c>
      <c r="C96" s="1">
        <v>28860.000000000007</v>
      </c>
      <c r="D96" s="1">
        <f t="shared" si="21"/>
        <v>17023.000000000004</v>
      </c>
      <c r="E96" s="3">
        <f t="shared" si="16"/>
        <v>58.984753984753979</v>
      </c>
      <c r="F96" s="1">
        <f t="shared" si="22"/>
        <v>16600.000000000004</v>
      </c>
      <c r="G96" s="1">
        <v>114.00000000000004</v>
      </c>
      <c r="H96" s="1">
        <v>1702.0000000000007</v>
      </c>
      <c r="I96" s="1">
        <v>163.99999999999997</v>
      </c>
      <c r="J96" s="1">
        <v>37.999999999999993</v>
      </c>
      <c r="K96" s="1">
        <v>151.00000000000003</v>
      </c>
      <c r="L96" s="1">
        <v>1412.9999999999998</v>
      </c>
      <c r="M96" s="1">
        <v>3225.0000000000005</v>
      </c>
      <c r="N96" s="1">
        <v>220</v>
      </c>
      <c r="O96" s="1">
        <v>67.000000000000014</v>
      </c>
      <c r="P96" s="1">
        <v>137</v>
      </c>
      <c r="Q96" s="1">
        <v>604.99999999999977</v>
      </c>
      <c r="R96" s="1">
        <v>7590.0000000000027</v>
      </c>
      <c r="S96" s="1">
        <v>1174</v>
      </c>
      <c r="T96" s="19">
        <v>357.00000000000006</v>
      </c>
      <c r="U96" s="19">
        <v>66</v>
      </c>
      <c r="V96" s="1">
        <v>11837.000000000004</v>
      </c>
      <c r="W96" s="3">
        <v>41.015246015246014</v>
      </c>
      <c r="X96" s="39"/>
      <c r="Z96" s="1"/>
    </row>
    <row r="97" spans="1:26" ht="24.9" customHeight="1" x14ac:dyDescent="0.25">
      <c r="A97" s="38" t="s">
        <v>290</v>
      </c>
      <c r="B97" s="17">
        <v>70</v>
      </c>
      <c r="C97" s="17">
        <v>31863.999999999993</v>
      </c>
      <c r="D97" s="17">
        <f t="shared" si="21"/>
        <v>4431</v>
      </c>
      <c r="E97" s="15">
        <f>D97/C97*100</f>
        <v>13.905975395430584</v>
      </c>
      <c r="F97" s="16">
        <f t="shared" si="22"/>
        <v>4391</v>
      </c>
      <c r="G97" s="17">
        <v>6.0000000000000027</v>
      </c>
      <c r="H97" s="17">
        <v>1654.9999999999998</v>
      </c>
      <c r="I97" s="17">
        <v>16.000000000000007</v>
      </c>
      <c r="J97" s="17">
        <v>6.0000000000000009</v>
      </c>
      <c r="K97" s="17">
        <v>80.000000000000014</v>
      </c>
      <c r="L97" s="17">
        <v>243.00000000000003</v>
      </c>
      <c r="M97" s="17">
        <v>748.00000000000034</v>
      </c>
      <c r="N97" s="17">
        <v>31.000000000000004</v>
      </c>
      <c r="O97" s="17">
        <v>32</v>
      </c>
      <c r="P97" s="17">
        <v>21.000000000000007</v>
      </c>
      <c r="Q97" s="17">
        <v>43.000000000000007</v>
      </c>
      <c r="R97" s="17">
        <v>512</v>
      </c>
      <c r="S97" s="17">
        <v>998.00000000000023</v>
      </c>
      <c r="T97" s="22">
        <v>37.000000000000007</v>
      </c>
      <c r="U97" s="22">
        <v>3.0000000000000004</v>
      </c>
      <c r="V97" s="17">
        <v>27433</v>
      </c>
      <c r="W97" s="15">
        <v>86.094024604569441</v>
      </c>
      <c r="X97" s="39"/>
      <c r="Z97" s="17"/>
    </row>
    <row r="98" spans="1:26" x14ac:dyDescent="0.25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5"/>
      <c r="U98" s="25"/>
      <c r="V98" s="24"/>
      <c r="W98" s="26"/>
    </row>
    <row r="99" spans="1:26" x14ac:dyDescent="0.25">
      <c r="A99" s="27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2"/>
      <c r="U99" s="22"/>
      <c r="V99" s="28"/>
      <c r="W99" s="29"/>
    </row>
    <row r="100" spans="1:26" x14ac:dyDescent="0.25">
      <c r="A100" s="4" t="s">
        <v>407</v>
      </c>
      <c r="T100" s="22"/>
      <c r="U100" s="22"/>
    </row>
    <row r="101" spans="1:26" x14ac:dyDescent="0.25">
      <c r="A101" s="4" t="s">
        <v>408</v>
      </c>
      <c r="T101" s="22"/>
      <c r="U101" s="22"/>
    </row>
    <row r="102" spans="1:26" x14ac:dyDescent="0.25">
      <c r="A102" s="4" t="s">
        <v>409</v>
      </c>
    </row>
    <row r="103" spans="1:26" x14ac:dyDescent="0.25">
      <c r="A103" s="4" t="s">
        <v>410</v>
      </c>
      <c r="B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</row>
    <row r="104" spans="1:26" x14ac:dyDescent="0.25">
      <c r="A104" s="4" t="s">
        <v>411</v>
      </c>
      <c r="T104" s="22"/>
      <c r="U104" s="22"/>
    </row>
    <row r="105" spans="1:26" x14ac:dyDescent="0.25">
      <c r="T105" s="22"/>
      <c r="U105" s="22"/>
    </row>
    <row r="106" spans="1:26" x14ac:dyDescent="0.25">
      <c r="A106" s="4" t="s">
        <v>313</v>
      </c>
      <c r="B106" s="31"/>
      <c r="T106" s="22"/>
      <c r="U106" s="22"/>
    </row>
  </sheetData>
  <mergeCells count="12">
    <mergeCell ref="A4:A6"/>
    <mergeCell ref="F5:S5"/>
    <mergeCell ref="D4:U4"/>
    <mergeCell ref="C4:C6"/>
    <mergeCell ref="B4:B6"/>
    <mergeCell ref="E5:E6"/>
    <mergeCell ref="D5:D6"/>
    <mergeCell ref="V4:W4"/>
    <mergeCell ref="V5:V6"/>
    <mergeCell ref="W5:W6"/>
    <mergeCell ref="U5:U6"/>
    <mergeCell ref="T5:T6"/>
  </mergeCells>
  <printOptions horizontalCentered="1"/>
  <pageMargins left="0.19685039370078741" right="0.19685039370078741" top="0.19685039370078741" bottom="0.19685039370078741" header="0" footer="0"/>
  <pageSetup scale="59" fitToHeight="30" orientation="landscape" r:id="rId1"/>
  <rowBreaks count="1" manualBreakCount="1">
    <brk id="54" max="22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MENUDATOS</vt:lpstr>
      <vt:lpstr>C1.2</vt:lpstr>
      <vt:lpstr>C1.2!Área_de_impresión</vt:lpstr>
      <vt:lpstr>C1.2!Área_de_impresión12</vt:lpstr>
      <vt:lpstr>C1.2!Área_de_impresiónC12</vt:lpstr>
      <vt:lpstr>C1.2!Print_Areac112</vt:lpstr>
      <vt:lpstr>C1.2!Print_Titles1200</vt:lpstr>
      <vt:lpstr>C1.2!Títulos_a_imprimirC12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Eladio Ramirez Campos</dc:creator>
  <cp:lastModifiedBy>Karina</cp:lastModifiedBy>
  <cp:lastPrinted>2018-09-17T17:36:30Z</cp:lastPrinted>
  <dcterms:created xsi:type="dcterms:W3CDTF">2018-06-25T19:59:28Z</dcterms:created>
  <dcterms:modified xsi:type="dcterms:W3CDTF">2020-07-23T23:36:12Z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48a64d53-6006-49b3-9a6b-6573fa875875</vt:lpwstr>
  </property>
</Properties>
</file>